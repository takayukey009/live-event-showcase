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ガイド" sheetId="2" state="visible" r:id="rId4"/>
    <sheet name="会場マスタ" sheetId="3" state="visible" r:id="rId5"/>
    <sheet name="公演データ" sheetId="4" state="visible" r:id="rId6"/>
    <sheet name="予約者ログ" sheetId="5" state="visible" r:id="rId7"/>
    <sheet name="流入元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" authorId="0">
      <text>
        <r>
          <rPr>
            <sz val="10"/>
            <rFont val="Noto Sans CJK SC"/>
            <family val="2"/>
          </rPr>
          <t xml:space="preserve">ステッカー（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枚</t>
        </r>
        <r>
          <rPr>
            <sz val="10"/>
            <rFont val="Arial"/>
            <family val="2"/>
          </rPr>
          <t xml:space="preserve">300</t>
        </r>
        <r>
          <rPr>
            <sz val="10"/>
            <rFont val="Noto Sans CJK SC"/>
            <family val="2"/>
          </rPr>
          <t xml:space="preserve">円）等の物販売上。販売数</t>
        </r>
        <r>
          <rPr>
            <sz val="10"/>
            <rFont val="Arial"/>
            <family val="2"/>
          </rPr>
          <t xml:space="preserve">×300</t>
        </r>
        <r>
          <rPr>
            <sz val="10"/>
            <rFont val="Noto Sans CJK SC"/>
            <family val="2"/>
          </rPr>
          <t xml:space="preserve">円を入力。</t>
        </r>
      </text>
    </comment>
    <comment ref="V2" authorId="0">
      <text>
        <r>
          <rPr>
            <sz val="10"/>
            <rFont val="Noto Sans CJK SC"/>
            <family val="2"/>
          </rPr>
          <t xml:space="preserve">ガイドシートの決済手数料率から自動計算。実額が判る場合は上書き可。</t>
        </r>
      </text>
    </comment>
  </commentList>
</comments>
</file>

<file path=xl/sharedStrings.xml><?xml version="1.0" encoding="utf-8"?>
<sst xmlns="http://schemas.openxmlformats.org/spreadsheetml/2006/main" count="450" uniqueCount="285">
  <si>
    <r>
      <rPr>
        <b val="true"/>
        <sz val="14"/>
        <rFont val="Meiryo"/>
        <family val="0"/>
        <charset val="1"/>
      </rPr>
      <t xml:space="preserve">YAGATE LIVE </t>
    </r>
    <r>
      <rPr>
        <b val="true"/>
        <sz val="14"/>
        <rFont val="Noto Sans CJK SC"/>
        <family val="2"/>
      </rPr>
      <t xml:space="preserve">ダッシュボード</t>
    </r>
  </si>
  <si>
    <t xml:space="preserve">「公演データ」シートに実績を入力すると自動更新されます。</t>
  </si>
  <si>
    <t xml:space="preserve">■ 全期間サマリー</t>
  </si>
  <si>
    <t xml:space="preserve">公演数</t>
  </si>
  <si>
    <t xml:space="preserve">累計販売枚数</t>
  </si>
  <si>
    <t xml:space="preserve">累計売上</t>
  </si>
  <si>
    <t xml:space="preserve">累計粗利</t>
  </si>
  <si>
    <t xml:space="preserve">平均粗利率</t>
  </si>
  <si>
    <t xml:space="preserve">平均販売枚数</t>
  </si>
  <si>
    <t xml:space="preserve">平均客単価</t>
  </si>
  <si>
    <t xml:space="preserve">平均消化率</t>
  </si>
  <si>
    <r>
      <rPr>
        <b val="true"/>
        <sz val="10"/>
        <rFont val="Noto Sans CJK SC"/>
        <family val="2"/>
      </rPr>
      <t xml:space="preserve">■ 直近</t>
    </r>
    <r>
      <rPr>
        <b val="true"/>
        <sz val="10"/>
        <rFont val="Meiryo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公演（実績が入っている公演のみ集計）</t>
    </r>
  </si>
  <si>
    <r>
      <rPr>
        <sz val="9"/>
        <color rgb="FF666666"/>
        <rFont val="Noto Sans CJK SC"/>
        <family val="2"/>
      </rPr>
      <t xml:space="preserve">直近</t>
    </r>
    <r>
      <rPr>
        <sz val="9"/>
        <color rgb="FF666666"/>
        <rFont val="Meiryo"/>
        <family val="0"/>
        <charset val="1"/>
      </rPr>
      <t xml:space="preserve">12</t>
    </r>
    <r>
      <rPr>
        <sz val="9"/>
        <color rgb="FF666666"/>
        <rFont val="Noto Sans CJK SC"/>
        <family val="2"/>
      </rPr>
      <t xml:space="preserve">公演 売上</t>
    </r>
  </si>
  <si>
    <r>
      <rPr>
        <sz val="9"/>
        <color rgb="FF666666"/>
        <rFont val="Noto Sans CJK SC"/>
        <family val="2"/>
      </rPr>
      <t xml:space="preserve">直近</t>
    </r>
    <r>
      <rPr>
        <sz val="9"/>
        <color rgb="FF666666"/>
        <rFont val="Meiryo"/>
        <family val="0"/>
        <charset val="1"/>
      </rPr>
      <t xml:space="preserve">12</t>
    </r>
    <r>
      <rPr>
        <sz val="9"/>
        <color rgb="FF666666"/>
        <rFont val="Noto Sans CJK SC"/>
        <family val="2"/>
      </rPr>
      <t xml:space="preserve">公演 粗利</t>
    </r>
  </si>
  <si>
    <r>
      <rPr>
        <sz val="9"/>
        <color rgb="FF666666"/>
        <rFont val="Noto Sans CJK SC"/>
        <family val="2"/>
      </rPr>
      <t xml:space="preserve">直近</t>
    </r>
    <r>
      <rPr>
        <sz val="9"/>
        <color rgb="FF666666"/>
        <rFont val="Meiryo"/>
        <family val="0"/>
        <charset val="1"/>
      </rPr>
      <t xml:space="preserve">12</t>
    </r>
    <r>
      <rPr>
        <sz val="9"/>
        <color rgb="FF666666"/>
        <rFont val="Noto Sans CJK SC"/>
        <family val="2"/>
      </rPr>
      <t xml:space="preserve">公演 平均販売枚数</t>
    </r>
  </si>
  <si>
    <r>
      <rPr>
        <sz val="9"/>
        <color rgb="FF666666"/>
        <rFont val="Noto Sans CJK SC"/>
        <family val="2"/>
      </rPr>
      <t xml:space="preserve">直近</t>
    </r>
    <r>
      <rPr>
        <sz val="9"/>
        <color rgb="FF666666"/>
        <rFont val="Meiryo"/>
        <family val="0"/>
        <charset val="1"/>
      </rPr>
      <t xml:space="preserve">12</t>
    </r>
    <r>
      <rPr>
        <sz val="9"/>
        <color rgb="FF666666"/>
        <rFont val="Noto Sans CJK SC"/>
        <family val="2"/>
      </rPr>
      <t xml:space="preserve">公演 粗利率</t>
    </r>
  </si>
  <si>
    <r>
      <rPr>
        <b val="true"/>
        <sz val="10"/>
        <rFont val="Noto Sans CJK SC"/>
        <family val="2"/>
      </rPr>
      <t xml:space="preserve">■ 決算期別（</t>
    </r>
    <r>
      <rPr>
        <b val="true"/>
        <sz val="10"/>
        <rFont val="Meiryo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月〜翌年</t>
    </r>
    <r>
      <rPr>
        <b val="true"/>
        <sz val="10"/>
        <rFont val="Meiryo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月／</t>
    </r>
    <r>
      <rPr>
        <b val="true"/>
        <sz val="10"/>
        <rFont val="Meiryo"/>
        <family val="0"/>
        <charset val="1"/>
      </rPr>
      <t xml:space="preserve">GATE</t>
    </r>
    <r>
      <rPr>
        <b val="true"/>
        <sz val="10"/>
        <rFont val="Noto Sans CJK SC"/>
        <family val="2"/>
      </rPr>
      <t xml:space="preserve">の</t>
    </r>
    <r>
      <rPr>
        <b val="true"/>
        <sz val="10"/>
        <rFont val="Meiryo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月決算に合わせた区切り）</t>
    </r>
  </si>
  <si>
    <t xml:space="preserve">期間</t>
  </si>
  <si>
    <t xml:space="preserve">販売枚数</t>
  </si>
  <si>
    <t xml:space="preserve">売上</t>
  </si>
  <si>
    <t xml:space="preserve">コスト</t>
  </si>
  <si>
    <t xml:space="preserve">粗利</t>
  </si>
  <si>
    <t xml:space="preserve">粗利率</t>
  </si>
  <si>
    <r>
      <rPr>
        <sz val="10"/>
        <rFont val="Meiryo"/>
        <family val="0"/>
        <charset val="1"/>
      </rPr>
      <t xml:space="preserve">2023/6</t>
    </r>
    <r>
      <rPr>
        <sz val="10"/>
        <rFont val="Noto Sans CJK SC"/>
        <family val="2"/>
      </rPr>
      <t xml:space="preserve">期</t>
    </r>
  </si>
  <si>
    <r>
      <rPr>
        <sz val="10"/>
        <rFont val="Meiryo"/>
        <family val="0"/>
        <charset val="1"/>
      </rPr>
      <t xml:space="preserve">2024/6</t>
    </r>
    <r>
      <rPr>
        <sz val="10"/>
        <rFont val="Noto Sans CJK SC"/>
        <family val="2"/>
      </rPr>
      <t xml:space="preserve">期</t>
    </r>
  </si>
  <si>
    <r>
      <rPr>
        <sz val="10"/>
        <rFont val="Meiryo"/>
        <family val="0"/>
        <charset val="1"/>
      </rPr>
      <t xml:space="preserve">2025/6</t>
    </r>
    <r>
      <rPr>
        <sz val="10"/>
        <rFont val="Noto Sans CJK SC"/>
        <family val="2"/>
      </rPr>
      <t xml:space="preserve">期</t>
    </r>
  </si>
  <si>
    <r>
      <rPr>
        <sz val="10"/>
        <rFont val="Meiryo"/>
        <family val="0"/>
        <charset val="1"/>
      </rPr>
      <t xml:space="preserve">2026/6</t>
    </r>
    <r>
      <rPr>
        <sz val="10"/>
        <rFont val="Noto Sans CJK SC"/>
        <family val="2"/>
      </rPr>
      <t xml:space="preserve">期</t>
    </r>
  </si>
  <si>
    <r>
      <rPr>
        <sz val="10"/>
        <rFont val="Meiryo"/>
        <family val="0"/>
        <charset val="1"/>
      </rPr>
      <t xml:space="preserve">2027/6</t>
    </r>
    <r>
      <rPr>
        <sz val="10"/>
        <rFont val="Noto Sans CJK SC"/>
        <family val="2"/>
      </rPr>
      <t xml:space="preserve">期</t>
    </r>
  </si>
  <si>
    <t xml:space="preserve">■ 曜日別の傾向（開催曜日の見直し判断に）</t>
  </si>
  <si>
    <t xml:space="preserve">曜日</t>
  </si>
  <si>
    <t xml:space="preserve">平均売上</t>
  </si>
  <si>
    <t xml:space="preserve">平均粗利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</si>
  <si>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</si>
  <si>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</si>
  <si>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</si>
  <si>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</si>
  <si>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</si>
  <si>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</si>
  <si>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</si>
  <si>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■ 顧客（予約者ログより）</t>
  </si>
  <si>
    <t xml:space="preserve">延べ予約者数</t>
  </si>
  <si>
    <t xml:space="preserve">ユニーク顧客数</t>
  </si>
  <si>
    <t xml:space="preserve">リピート予約数</t>
  </si>
  <si>
    <t xml:space="preserve">リピート率</t>
  </si>
  <si>
    <r>
      <rPr>
        <sz val="9"/>
        <color rgb="FF666666"/>
        <rFont val="Noto Sans CJK SC"/>
        <family val="2"/>
      </rPr>
      <t xml:space="preserve">※ 決算期別の期間区切りは</t>
    </r>
    <r>
      <rPr>
        <sz val="9"/>
        <color rgb="FF666666"/>
        <rFont val="Meiryo"/>
        <family val="0"/>
        <charset val="1"/>
      </rPr>
      <t xml:space="preserve">7</t>
    </r>
    <r>
      <rPr>
        <sz val="9"/>
        <color rgb="FF666666"/>
        <rFont val="Noto Sans CJK SC"/>
        <family val="2"/>
      </rPr>
      <t xml:space="preserve">月〜翌</t>
    </r>
    <r>
      <rPr>
        <sz val="9"/>
        <color rgb="FF666666"/>
        <rFont val="Meiryo"/>
        <family val="0"/>
        <charset val="1"/>
      </rPr>
      <t xml:space="preserve">6</t>
    </r>
    <r>
      <rPr>
        <sz val="9"/>
        <color rgb="FF666666"/>
        <rFont val="Noto Sans CJK SC"/>
        <family val="2"/>
      </rPr>
      <t xml:space="preserve">月で設定しています（</t>
    </r>
    <r>
      <rPr>
        <sz val="9"/>
        <color rgb="FF666666"/>
        <rFont val="Meiryo"/>
        <family val="0"/>
        <charset val="1"/>
      </rPr>
      <t xml:space="preserve">GATE</t>
    </r>
    <r>
      <rPr>
        <sz val="9"/>
        <color rgb="FF666666"/>
        <rFont val="Noto Sans CJK SC"/>
        <family val="2"/>
      </rPr>
      <t xml:space="preserve">は</t>
    </r>
    <r>
      <rPr>
        <sz val="9"/>
        <color rgb="FF666666"/>
        <rFont val="Meiryo"/>
        <family val="0"/>
        <charset val="1"/>
      </rPr>
      <t xml:space="preserve">6</t>
    </r>
    <r>
      <rPr>
        <sz val="9"/>
        <color rgb="FF666666"/>
        <rFont val="Noto Sans CJK SC"/>
        <family val="2"/>
      </rPr>
      <t xml:space="preserve">月決算）。</t>
    </r>
  </si>
  <si>
    <t xml:space="preserve">※ 数値が空欄の項目は、公演データ／予約者ログに実績が未入力です。</t>
  </si>
  <si>
    <t xml:space="preserve">※ コスト（会場費・ゲストギャラ等）が未入力のため、現状の粗利＝売上のまま表示されます。</t>
  </si>
  <si>
    <t xml:space="preserve">■ 集客モデル（アクセス数から着地枚数を予測）</t>
  </si>
  <si>
    <r>
      <rPr>
        <sz val="9"/>
        <color rgb="FF666666"/>
        <rFont val="Noto Sans CJK SC"/>
        <family val="2"/>
      </rPr>
      <t xml:space="preserve">相関係数 </t>
    </r>
    <r>
      <rPr>
        <sz val="9"/>
        <color rgb="FF666666"/>
        <rFont val="Meiryo"/>
        <family val="0"/>
        <charset val="1"/>
      </rPr>
      <t xml:space="preserve">r</t>
    </r>
  </si>
  <si>
    <r>
      <rPr>
        <sz val="9"/>
        <color rgb="FF666666"/>
        <rFont val="Noto Sans CJK SC"/>
        <family val="2"/>
      </rPr>
      <t xml:space="preserve">平均</t>
    </r>
    <r>
      <rPr>
        <sz val="9"/>
        <color rgb="FF666666"/>
        <rFont val="Meiryo"/>
        <family val="0"/>
        <charset val="1"/>
      </rPr>
      <t xml:space="preserve">CVR</t>
    </r>
  </si>
  <si>
    <r>
      <rPr>
        <sz val="9"/>
        <color rgb="FF666666"/>
        <rFont val="Noto Sans CJK SC"/>
        <family val="2"/>
      </rPr>
      <t xml:space="preserve">傾き（</t>
    </r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アクセスあたり枚数）</t>
    </r>
  </si>
  <si>
    <t xml:space="preserve">切片</t>
  </si>
  <si>
    <t xml:space="preserve">次回公演のシミュレーション</t>
  </si>
  <si>
    <t xml:space="preserve">販売上限（枚）</t>
  </si>
  <si>
    <t xml:space="preserve">見込みアクセス数</t>
  </si>
  <si>
    <t xml:space="preserve">予測枚数</t>
  </si>
  <si>
    <t xml:space="preserve">上限を埋めるのに必要なアクセス</t>
  </si>
  <si>
    <r>
      <rPr>
        <sz val="9"/>
        <color rgb="FF666666"/>
        <rFont val="Noto Sans CJK SC"/>
        <family val="2"/>
      </rPr>
      <t xml:space="preserve">※ 黄色の</t>
    </r>
    <r>
      <rPr>
        <sz val="9"/>
        <color rgb="FF666666"/>
        <rFont val="Meiryo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セル（販売上限・見込みアクセス数）を入れると、着地枚数と必要アクセスが出ます。</t>
    </r>
  </si>
  <si>
    <r>
      <rPr>
        <sz val="9"/>
        <color rgb="FF666666"/>
        <rFont val="Noto Sans CJK SC"/>
        <family val="2"/>
      </rPr>
      <t xml:space="preserve">※ このモデルは</t>
    </r>
    <r>
      <rPr>
        <sz val="9"/>
        <color rgb="FF666666"/>
        <rFont val="Meiryo"/>
        <family val="0"/>
        <charset val="1"/>
      </rPr>
      <t xml:space="preserve">vol.33</t>
    </r>
    <r>
      <rPr>
        <sz val="9"/>
        <color rgb="FF666666"/>
        <rFont val="Noto Sans CJK SC"/>
        <family val="2"/>
      </rPr>
      <t xml:space="preserve">を除く公演の実績に基づく回帰。</t>
    </r>
    <r>
      <rPr>
        <sz val="9"/>
        <color rgb="FF666666"/>
        <rFont val="Meiryo"/>
        <family val="0"/>
        <charset val="1"/>
      </rPr>
      <t xml:space="preserve">CVR</t>
    </r>
    <r>
      <rPr>
        <sz val="9"/>
        <color rgb="FF666666"/>
        <rFont val="Noto Sans CJK SC"/>
        <family val="2"/>
      </rPr>
      <t xml:space="preserve">が安定している前提での目安です。</t>
    </r>
  </si>
  <si>
    <r>
      <rPr>
        <b val="true"/>
        <sz val="14"/>
        <rFont val="Meiryo"/>
        <family val="0"/>
        <charset val="1"/>
      </rPr>
      <t xml:space="preserve">YAGATE LIVE </t>
    </r>
    <r>
      <rPr>
        <b val="true"/>
        <sz val="14"/>
        <rFont val="Noto Sans CJK SC"/>
        <family val="2"/>
      </rPr>
      <t xml:space="preserve">収益管理ダッシュボード</t>
    </r>
  </si>
  <si>
    <r>
      <rPr>
        <sz val="9"/>
        <color rgb="FF666666"/>
        <rFont val="Noto Sans CJK SC"/>
        <family val="2"/>
      </rPr>
      <t xml:space="preserve">公演ごとの収支・動員・顧客を</t>
    </r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枚で管理し、ダッシュボードで自動集計します。</t>
    </r>
  </si>
  <si>
    <t xml:space="preserve">■ 共通設定（先にここを埋める）</t>
  </si>
  <si>
    <t xml:space="preserve">項目</t>
  </si>
  <si>
    <t xml:space="preserve">値</t>
  </si>
  <si>
    <t xml:space="preserve">説明</t>
  </si>
  <si>
    <t xml:space="preserve">チケット決済手数料率</t>
  </si>
  <si>
    <r>
      <rPr>
        <sz val="9"/>
        <color rgb="FF666666"/>
        <rFont val="Meiryo"/>
        <family val="0"/>
        <charset val="1"/>
      </rPr>
      <t xml:space="preserve">Tiget</t>
    </r>
    <r>
      <rPr>
        <sz val="9"/>
        <color rgb="FF666666"/>
        <rFont val="Noto Sans CJK SC"/>
        <family val="2"/>
      </rPr>
      <t xml:space="preserve">等の販売手数料率。公演データの「決済手数料」列が自動計算されます。</t>
    </r>
  </si>
  <si>
    <t xml:space="preserve">目標粗利率</t>
  </si>
  <si>
    <t xml:space="preserve">ダッシュボードの判定ラインに使用。</t>
  </si>
  <si>
    <t xml:space="preserve">月あたり固定費配賦額</t>
  </si>
  <si>
    <r>
      <rPr>
        <sz val="9"/>
        <color rgb="FF666666"/>
        <rFont val="Noto Sans CJK SC"/>
        <family val="2"/>
      </rPr>
      <t xml:space="preserve">ライブ運営に按分する人件費等があれば入力（無ければ</t>
    </r>
    <r>
      <rPr>
        <sz val="9"/>
        <color rgb="FF666666"/>
        <rFont val="Meiryo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</si>
  <si>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ゲスト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組あたりギャラ</t>
    </r>
  </si>
  <si>
    <r>
      <rPr>
        <sz val="9"/>
        <color rgb="FF666666"/>
        <rFont val="Noto Sans CJK SC"/>
        <family val="2"/>
      </rPr>
      <t xml:space="preserve">実額が未入力の公演で「ゲスト組数</t>
    </r>
    <r>
      <rPr>
        <sz val="9"/>
        <color rgb="FF666666"/>
        <rFont val="Meiryo"/>
        <family val="0"/>
        <charset val="1"/>
      </rPr>
      <t xml:space="preserve">×</t>
    </r>
    <r>
      <rPr>
        <sz val="9"/>
        <color rgb="FF666666"/>
        <rFont val="Noto Sans CJK SC"/>
        <family val="2"/>
      </rPr>
      <t xml:space="preserve">この額」を自動計算。</t>
    </r>
  </si>
  <si>
    <t xml:space="preserve">標準制作・運営費</t>
  </si>
  <si>
    <r>
      <rPr>
        <sz val="9"/>
        <color rgb="FF666666"/>
        <rFont val="Noto Sans CJK SC"/>
        <family val="2"/>
      </rPr>
      <t xml:space="preserve">学生スタッフ等。実額が未入力の公演に適用（直近実績</t>
    </r>
    <r>
      <rPr>
        <sz val="9"/>
        <color rgb="FF666666"/>
        <rFont val="Meiryo"/>
        <family val="0"/>
        <charset val="1"/>
      </rPr>
      <t xml:space="preserve">3,000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4,000</t>
    </r>
    <r>
      <rPr>
        <sz val="9"/>
        <color rgb="FF666666"/>
        <rFont val="Noto Sans CJK SC"/>
        <family val="2"/>
      </rPr>
      <t xml:space="preserve">円）。</t>
    </r>
  </si>
  <si>
    <t xml:space="preserve">■ 色の凡例</t>
  </si>
  <si>
    <t xml:space="preserve">青字・黄色セル</t>
  </si>
  <si>
    <r>
      <rPr>
        <sz val="9"/>
        <color rgb="FF666666"/>
        <rFont val="Noto Sans CJK SC"/>
        <family val="2"/>
      </rPr>
      <t xml:space="preserve">手入力する箇所。ここだけ埋めれば</t>
    </r>
    <r>
      <rPr>
        <sz val="9"/>
        <color rgb="FF666666"/>
        <rFont val="Meiryo"/>
        <family val="0"/>
        <charset val="1"/>
      </rPr>
      <t xml:space="preserve">OK</t>
    </r>
    <r>
      <rPr>
        <sz val="9"/>
        <color rgb="FF666666"/>
        <rFont val="Noto Sans CJK SC"/>
        <family val="2"/>
      </rPr>
      <t xml:space="preserve">。</t>
    </r>
  </si>
  <si>
    <t xml:space="preserve">黒字</t>
  </si>
  <si>
    <t xml:space="preserve">自動計算（数式）。上書きしないでください。</t>
  </si>
  <si>
    <t xml:space="preserve">緑字</t>
  </si>
  <si>
    <t xml:space="preserve">他シートからの参照。</t>
  </si>
  <si>
    <t xml:space="preserve">■ 使い方（毎公演の運用）</t>
  </si>
  <si>
    <r>
      <rPr>
        <sz val="10"/>
        <rFont val="Meiryo"/>
        <family val="0"/>
        <charset val="1"/>
      </rPr>
      <t xml:space="preserve">1. </t>
    </r>
    <r>
      <rPr>
        <sz val="10"/>
        <rFont val="Noto Sans CJK SC"/>
        <family val="2"/>
      </rPr>
      <t xml:space="preserve">公演終了後、「公演データ」シートの黄色セルに実績を入力（動員数・各売上・各コスト）。</t>
    </r>
  </si>
  <si>
    <r>
      <rPr>
        <sz val="10"/>
        <rFont val="Meiryo"/>
        <family val="0"/>
        <charset val="1"/>
      </rPr>
      <t xml:space="preserve">2. Tiget</t>
    </r>
    <r>
      <rPr>
        <sz val="10"/>
        <rFont val="Noto Sans CJK SC"/>
        <family val="2"/>
      </rPr>
      <t xml:space="preserve">の予約者</t>
    </r>
    <r>
      <rPr>
        <sz val="10"/>
        <rFont val="Meiryo"/>
        <family val="0"/>
        <charset val="1"/>
      </rPr>
      <t xml:space="preserve">CSV</t>
    </r>
    <r>
      <rPr>
        <sz val="10"/>
        <rFont val="Noto Sans CJK SC"/>
        <family val="2"/>
      </rPr>
      <t xml:space="preserve">を「予約者ログ」シートに追記（公演回とメールアドレス等の識別子）。</t>
    </r>
  </si>
  <si>
    <r>
      <rPr>
        <sz val="10"/>
        <rFont val="Meiryo"/>
        <family val="0"/>
        <charset val="1"/>
      </rPr>
      <t xml:space="preserve">3. </t>
    </r>
    <r>
      <rPr>
        <sz val="10"/>
        <rFont val="Noto Sans CJK SC"/>
        <family val="2"/>
      </rPr>
      <t xml:space="preserve">「ダッシュボード」シートは自動更新。数式に触れる必要はありません。</t>
    </r>
  </si>
  <si>
    <r>
      <rPr>
        <sz val="10"/>
        <rFont val="Meiryo"/>
        <family val="0"/>
        <charset val="1"/>
      </rPr>
      <t xml:space="preserve">4. </t>
    </r>
    <r>
      <rPr>
        <sz val="10"/>
        <rFont val="Noto Sans CJK SC"/>
        <family val="2"/>
      </rPr>
      <t xml:space="preserve">新しい会場を使う場合は「会場マスタ」に会場名とキャパを追加してから公演データで選択。</t>
    </r>
  </si>
  <si>
    <t xml:space="preserve">■ 記入例（この形式で入力してください）</t>
  </si>
  <si>
    <t xml:space="preserve">チケット単価</t>
  </si>
  <si>
    <t xml:space="preserve">販売上限</t>
  </si>
  <si>
    <t xml:space="preserve">実来場数</t>
  </si>
  <si>
    <t xml:space="preserve">物販売上</t>
  </si>
  <si>
    <t xml:space="preserve">会場費</t>
  </si>
  <si>
    <t xml:space="preserve">ゲストギャラ</t>
  </si>
  <si>
    <t xml:space="preserve">※ 上記はフォーマット確認用のダミー値です（実績ではありません）。</t>
  </si>
  <si>
    <t xml:space="preserve">■ データ出典</t>
  </si>
  <si>
    <r>
      <rPr>
        <sz val="9"/>
        <color rgb="FF666666"/>
        <rFont val="Noto Sans CJK SC"/>
        <family val="2"/>
      </rPr>
      <t xml:space="preserve">公演一覧（回数・開催日・曜日・出演者）はユーザー提供の一覧表（</t>
    </r>
    <r>
      <rPr>
        <sz val="9"/>
        <color rgb="FF666666"/>
        <rFont val="Meiryo"/>
        <family val="0"/>
        <charset val="1"/>
      </rPr>
      <t xml:space="preserve">yagate.jp </t>
    </r>
    <r>
      <rPr>
        <sz val="9"/>
        <color rgb="FF666666"/>
        <rFont val="Noto Sans CJK SC"/>
        <family val="2"/>
      </rPr>
      <t xml:space="preserve">アーカイブ）に基づく。</t>
    </r>
  </si>
  <si>
    <r>
      <rPr>
        <sz val="9"/>
        <color rgb="FFC00000"/>
        <rFont val="Meiryo"/>
        <family val="0"/>
        <charset val="1"/>
      </rPr>
      <t xml:space="preserve">vol.29</t>
    </r>
    <r>
      <rPr>
        <sz val="9"/>
        <color rgb="FFC00000"/>
        <rFont val="Noto Sans CJK SC"/>
        <family val="2"/>
      </rPr>
      <t xml:space="preserve">〜</t>
    </r>
    <r>
      <rPr>
        <sz val="9"/>
        <color rgb="FFC00000"/>
        <rFont val="Meiryo"/>
        <family val="0"/>
        <charset val="1"/>
      </rPr>
      <t xml:space="preserve">37</t>
    </r>
    <r>
      <rPr>
        <sz val="9"/>
        <color rgb="FFC00000"/>
        <rFont val="Noto Sans CJK SC"/>
        <family val="2"/>
      </rPr>
      <t xml:space="preserve">の販売上限・販売枚数は</t>
    </r>
    <r>
      <rPr>
        <sz val="9"/>
        <color rgb="FFC00000"/>
        <rFont val="Meiryo"/>
        <family val="0"/>
        <charset val="1"/>
      </rPr>
      <t xml:space="preserve">Tiget</t>
    </r>
    <r>
      <rPr>
        <sz val="9"/>
        <color rgb="FFC00000"/>
        <rFont val="Noto Sans CJK SC"/>
        <family val="2"/>
      </rPr>
      <t xml:space="preserve">管理画面より転記。会場名は一部に誤りがあるとの申告あり（</t>
    </r>
    <r>
      <rPr>
        <sz val="9"/>
        <color rgb="FFC00000"/>
        <rFont val="Meiryo"/>
        <family val="0"/>
        <charset val="1"/>
      </rPr>
      <t xml:space="preserve">E</t>
    </r>
    <r>
      <rPr>
        <sz val="9"/>
        <color rgb="FFC00000"/>
        <rFont val="Noto Sans CJK SC"/>
        <family val="2"/>
      </rPr>
      <t xml:space="preserve">列で修正可）。</t>
    </r>
  </si>
  <si>
    <t xml:space="preserve">会場名</t>
  </si>
  <si>
    <t xml:space="preserve">キャパ（席）</t>
  </si>
  <si>
    <t xml:space="preserve">標準会場費</t>
  </si>
  <si>
    <t xml:space="preserve">メモ</t>
  </si>
  <si>
    <r>
      <rPr>
        <sz val="10"/>
        <color rgb="FF0000FF"/>
        <rFont val="Noto Sans CJK SC"/>
        <family val="2"/>
      </rPr>
      <t xml:space="preserve">新宿ハイジア</t>
    </r>
    <r>
      <rPr>
        <sz val="10"/>
        <color rgb="FF0000FF"/>
        <rFont val="Meiryo"/>
        <family val="0"/>
        <charset val="1"/>
      </rPr>
      <t xml:space="preserve">V-1</t>
    </r>
  </si>
  <si>
    <r>
      <rPr>
        <sz val="9"/>
        <color rgb="FF666666"/>
        <rFont val="Noto Sans CJK SC"/>
        <family val="2"/>
      </rPr>
      <t xml:space="preserve">標準会場費。実績</t>
    </r>
    <r>
      <rPr>
        <sz val="9"/>
        <color rgb="FF666666"/>
        <rFont val="Meiryo"/>
        <family val="0"/>
        <charset val="1"/>
      </rPr>
      <t xml:space="preserve">42,800</t>
    </r>
    <r>
      <rPr>
        <sz val="9"/>
        <color rgb="FF666666"/>
        <rFont val="Noto Sans CJK SC"/>
        <family val="2"/>
      </rPr>
      <t xml:space="preserve">円（</t>
    </r>
    <r>
      <rPr>
        <sz val="9"/>
        <color rgb="FF666666"/>
        <rFont val="Meiryo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公演平均）</t>
    </r>
  </si>
  <si>
    <t xml:space="preserve">下北沢シアターミネルヴァ</t>
  </si>
  <si>
    <r>
      <rPr>
        <sz val="9"/>
        <color rgb="FF666666"/>
        <rFont val="Noto Sans CJK SC"/>
        <family val="2"/>
      </rPr>
      <t xml:space="preserve">標準会場費。実績</t>
    </r>
    <r>
      <rPr>
        <sz val="9"/>
        <color rgb="FF666666"/>
        <rFont val="Meiryo"/>
        <family val="0"/>
        <charset val="1"/>
      </rPr>
      <t xml:space="preserve">31,667</t>
    </r>
    <r>
      <rPr>
        <sz val="9"/>
        <color rgb="FF666666"/>
        <rFont val="Noto Sans CJK SC"/>
        <family val="2"/>
      </rPr>
      <t xml:space="preserve">円（</t>
    </r>
    <r>
      <rPr>
        <sz val="9"/>
        <color rgb="FF666666"/>
        <rFont val="Meiryo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公演平均）</t>
    </r>
  </si>
  <si>
    <t xml:space="preserve">渋谷ばぐちか</t>
  </si>
  <si>
    <r>
      <rPr>
        <sz val="9"/>
        <color rgb="FF666666"/>
        <rFont val="Meiryo"/>
        <family val="0"/>
        <charset val="1"/>
      </rPr>
      <t xml:space="preserve">vol.1</t>
    </r>
    <r>
      <rPr>
        <sz val="9"/>
        <color rgb="FF666666"/>
        <rFont val="Noto Sans CJK SC"/>
        <family val="2"/>
      </rPr>
      <t xml:space="preserve">のみ。音響トラブルのため会場費</t>
    </r>
    <r>
      <rPr>
        <sz val="9"/>
        <color rgb="FF666666"/>
        <rFont val="Meiryo"/>
        <family val="0"/>
        <charset val="1"/>
      </rPr>
      <t xml:space="preserve">0</t>
    </r>
  </si>
  <si>
    <r>
      <rPr>
        <sz val="9"/>
        <color rgb="FF666666"/>
        <rFont val="Noto Sans CJK SC"/>
        <family val="2"/>
      </rPr>
      <t xml:space="preserve">※ 標準会場費は「公演データ」</t>
    </r>
    <r>
      <rPr>
        <sz val="9"/>
        <color rgb="FF666666"/>
        <rFont val="Meiryo"/>
        <family val="0"/>
        <charset val="1"/>
      </rPr>
      <t xml:space="preserve">S</t>
    </r>
    <r>
      <rPr>
        <sz val="9"/>
        <color rgb="FF666666"/>
        <rFont val="Noto Sans CJK SC"/>
        <family val="2"/>
      </rPr>
      <t xml:space="preserve">列に自動反映されます（実額を入力した公演は実額が優先）。</t>
    </r>
  </si>
  <si>
    <r>
      <rPr>
        <sz val="9"/>
        <color rgb="FFC00000"/>
        <rFont val="Noto Sans CJK SC"/>
        <family val="2"/>
      </rPr>
      <t xml:space="preserve">※ 会場名は「公演データ」</t>
    </r>
    <r>
      <rPr>
        <sz val="9"/>
        <color rgb="FFC00000"/>
        <rFont val="Meiryo"/>
        <family val="0"/>
        <charset val="1"/>
      </rPr>
      <t xml:space="preserve">E</t>
    </r>
    <r>
      <rPr>
        <sz val="9"/>
        <color rgb="FFC00000"/>
        <rFont val="Noto Sans CJK SC"/>
        <family val="2"/>
      </rPr>
      <t xml:space="preserve">列と完全一致させてください。</t>
    </r>
    <r>
      <rPr>
        <sz val="9"/>
        <color rgb="FFC00000"/>
        <rFont val="Meiryo"/>
        <family val="0"/>
        <charset val="1"/>
      </rPr>
      <t xml:space="preserve">E</t>
    </r>
    <r>
      <rPr>
        <sz val="9"/>
        <color rgb="FFC00000"/>
        <rFont val="Noto Sans CJK SC"/>
        <family val="2"/>
      </rPr>
      <t xml:space="preserve">列を正しい会場に直せば、会場費が自動で入ります。</t>
    </r>
  </si>
  <si>
    <t xml:space="preserve">基本情報</t>
  </si>
  <si>
    <t xml:space="preserve">動員</t>
  </si>
  <si>
    <t xml:space="preserve">売上（入力）</t>
  </si>
  <si>
    <t xml:space="preserve">コスト（入力）</t>
  </si>
  <si>
    <t xml:space="preserve">指標（自動）</t>
  </si>
  <si>
    <t xml:space="preserve">回数</t>
  </si>
  <si>
    <t xml:space="preserve">公演名</t>
  </si>
  <si>
    <t xml:space="preserve">開催日</t>
  </si>
  <si>
    <t xml:space="preserve">会場</t>
  </si>
  <si>
    <t xml:space="preserve">販売上限
（枚）</t>
  </si>
  <si>
    <t xml:space="preserve">出演者・ゲスト</t>
  </si>
  <si>
    <t xml:space="preserve">出演組数</t>
  </si>
  <si>
    <t xml:space="preserve">販売枚数
（予約）</t>
  </si>
  <si>
    <t xml:space="preserve">チケット売上</t>
  </si>
  <si>
    <t xml:space="preserve">その他チケット収入</t>
  </si>
  <si>
    <t xml:space="preserve">特典会売上</t>
  </si>
  <si>
    <t xml:space="preserve">配信売上</t>
  </si>
  <si>
    <t xml:space="preserve">協賛売上</t>
  </si>
  <si>
    <t xml:space="preserve">売上合計</t>
  </si>
  <si>
    <t xml:space="preserve">制作・運営費</t>
  </si>
  <si>
    <t xml:space="preserve">決済手数料</t>
  </si>
  <si>
    <t xml:space="preserve">コスト合計</t>
  </si>
  <si>
    <t xml:space="preserve">客単価</t>
  </si>
  <si>
    <t xml:space="preserve">消化率</t>
  </si>
  <si>
    <t xml:space="preserve">キャンセル率</t>
  </si>
  <si>
    <t xml:space="preserve">損益分岐動員数</t>
  </si>
  <si>
    <t xml:space="preserve">備考</t>
  </si>
  <si>
    <t xml:space="preserve">ゲスト組数</t>
  </si>
  <si>
    <t xml:space="preserve">vol.1</t>
  </si>
  <si>
    <t xml:space="preserve">YAGATE vol.1</t>
  </si>
  <si>
    <t xml:space="preserve">友田オレ／リンドバーグ／ジグロポッカ／ミスター大冒険。／いろはラムネ／シノブ／高田ぽる子</t>
  </si>
  <si>
    <r>
      <rPr>
        <sz val="10"/>
        <color rgb="FF0000FF"/>
        <rFont val="Meiryo"/>
        <family val="0"/>
        <charset val="1"/>
      </rPr>
      <t xml:space="preserve">Tiget</t>
    </r>
    <r>
      <rPr>
        <sz val="10"/>
        <color rgb="FF0000FF"/>
        <rFont val="Noto Sans CJK SC"/>
        <family val="2"/>
      </rPr>
      <t xml:space="preserve">予約枚数／単価</t>
    </r>
    <r>
      <rPr>
        <sz val="10"/>
        <color rgb="FF0000FF"/>
        <rFont val="Meiryo"/>
        <family val="0"/>
        <charset val="1"/>
      </rPr>
      <t xml:space="preserve">1,500</t>
    </r>
    <r>
      <rPr>
        <sz val="10"/>
        <color rgb="FF0000FF"/>
        <rFont val="Noto Sans CJK SC"/>
        <family val="2"/>
      </rPr>
      <t xml:space="preserve">円（実収支データより確認）</t>
    </r>
  </si>
  <si>
    <t xml:space="preserve">vol.2</t>
  </si>
  <si>
    <t xml:space="preserve">YAGATE vol.2</t>
  </si>
  <si>
    <t xml:space="preserve">友田オレ／リンドバーグ／チュランペット／金魚番長／青御膳／えびしゃ</t>
  </si>
  <si>
    <t xml:space="preserve">vol.3</t>
  </si>
  <si>
    <t xml:space="preserve">YAGATE vol.3</t>
  </si>
  <si>
    <t xml:space="preserve">友田オレ／リンドバーグ／ツンツクツン万博／清水駿平／ゼンモンキー／兄弟／豆鉄砲</t>
  </si>
  <si>
    <t xml:space="preserve">vol.4</t>
  </si>
  <si>
    <t xml:space="preserve">YAGATE vol.4</t>
  </si>
  <si>
    <t xml:space="preserve">友田オレ／リンドバーグ／徳原旅行／鈴木ジェロニモ／鉛筆ドリル／惹女香花／ハマタ残機ゼロ</t>
  </si>
  <si>
    <t xml:space="preserve">vol.5</t>
  </si>
  <si>
    <t xml:space="preserve">YAGATE vol.5</t>
  </si>
  <si>
    <t xml:space="preserve">友田オレ／リンドバーグ／フランツ／人間横丁／キャプテンバイソン／坊屋／伝書鳩</t>
  </si>
  <si>
    <t xml:space="preserve">vol.6</t>
  </si>
  <si>
    <t xml:space="preserve">YAGATE vol.6</t>
  </si>
  <si>
    <t xml:space="preserve">友田オレ／リンドバーグ／破壊ありがとう／モシモシ／江戸マリー／無尽蔵</t>
  </si>
  <si>
    <t xml:space="preserve">vol.7</t>
  </si>
  <si>
    <t xml:space="preserve">YAGATE vol.7</t>
  </si>
  <si>
    <t xml:space="preserve">友田オレ／リンドバーグ／サスペンダーズ／いろはラムネ／美魔女／鈴木ジェロニモ／ラパルフェ</t>
  </si>
  <si>
    <t xml:space="preserve">vol.8</t>
  </si>
  <si>
    <t xml:space="preserve">YAGATE vol.8</t>
  </si>
  <si>
    <t xml:space="preserve">友田オレ／リンドバーグ／徳原旅行／清水駿平／鉛筆ドリル／ナユタ</t>
  </si>
  <si>
    <r>
      <rPr>
        <sz val="10"/>
        <color rgb="FF0000FF"/>
        <rFont val="Noto Sans CJK SC"/>
        <family val="2"/>
      </rPr>
      <t xml:space="preserve">一般</t>
    </r>
    <r>
      <rPr>
        <sz val="10"/>
        <color rgb="FF0000FF"/>
        <rFont val="Meiryo"/>
        <family val="0"/>
        <charset val="1"/>
      </rPr>
      <t xml:space="preserve">39/42</t>
    </r>
    <r>
      <rPr>
        <sz val="10"/>
        <color rgb="FF0000FF"/>
        <rFont val="Noto Sans CJK SC"/>
        <family val="2"/>
      </rPr>
      <t xml:space="preserve">＋学生</t>
    </r>
    <r>
      <rPr>
        <sz val="10"/>
        <color rgb="FF0000FF"/>
        <rFont val="Meiryo"/>
        <family val="0"/>
        <charset val="1"/>
      </rPr>
      <t xml:space="preserve">21/22</t>
    </r>
    <r>
      <rPr>
        <sz val="10"/>
        <color rgb="FF0000FF"/>
        <rFont val="Noto Sans CJK SC"/>
        <family val="2"/>
      </rPr>
      <t xml:space="preserve">。単価は推定</t>
    </r>
  </si>
  <si>
    <t xml:space="preserve">vol.9</t>
  </si>
  <si>
    <t xml:space="preserve">YAGATE vol.9</t>
  </si>
  <si>
    <t xml:space="preserve">友田オレ／リンドバーグ／ツンツクツン万博／都トム／兄弟／サノライブ</t>
  </si>
  <si>
    <r>
      <rPr>
        <sz val="10"/>
        <color rgb="FF0000FF"/>
        <rFont val="Noto Sans CJK SC"/>
        <family val="2"/>
      </rPr>
      <t xml:space="preserve">一般</t>
    </r>
    <r>
      <rPr>
        <sz val="10"/>
        <color rgb="FF0000FF"/>
        <rFont val="Meiryo"/>
        <family val="0"/>
        <charset val="1"/>
      </rPr>
      <t xml:space="preserve">25/40</t>
    </r>
    <r>
      <rPr>
        <sz val="10"/>
        <color rgb="FF0000FF"/>
        <rFont val="Noto Sans CJK SC"/>
        <family val="2"/>
      </rPr>
      <t xml:space="preserve">＋学生</t>
    </r>
    <r>
      <rPr>
        <sz val="10"/>
        <color rgb="FF0000FF"/>
        <rFont val="Meiryo"/>
        <family val="0"/>
        <charset val="1"/>
      </rPr>
      <t xml:space="preserve">17/25</t>
    </r>
    <r>
      <rPr>
        <sz val="10"/>
        <color rgb="FF0000FF"/>
        <rFont val="Noto Sans CJK SC"/>
        <family val="2"/>
      </rPr>
      <t xml:space="preserve">。単価は推定</t>
    </r>
  </si>
  <si>
    <t xml:space="preserve">vol.10</t>
  </si>
  <si>
    <t xml:space="preserve">YAGATE vol.10</t>
  </si>
  <si>
    <t xml:space="preserve">友田オレ／リンドバーグ／イクラボブチャンチャン／坊屋／十九人／わっきゃい</t>
  </si>
  <si>
    <r>
      <rPr>
        <sz val="10"/>
        <color rgb="FF0000FF"/>
        <rFont val="Noto Sans CJK SC"/>
        <family val="2"/>
      </rPr>
      <t xml:space="preserve">一般</t>
    </r>
    <r>
      <rPr>
        <sz val="10"/>
        <color rgb="FF0000FF"/>
        <rFont val="Meiryo"/>
        <family val="0"/>
        <charset val="1"/>
      </rPr>
      <t xml:space="preserve">1,000</t>
    </r>
    <r>
      <rPr>
        <sz val="10"/>
        <color rgb="FF0000FF"/>
        <rFont val="Noto Sans CJK SC"/>
        <family val="2"/>
      </rPr>
      <t xml:space="preserve">円</t>
    </r>
  </si>
  <si>
    <t xml:space="preserve">vol.11</t>
  </si>
  <si>
    <t xml:space="preserve">YAGATE vol.11</t>
  </si>
  <si>
    <t xml:space="preserve">友田オレ／リンドバーグ／イクラボブチャンチャン</t>
  </si>
  <si>
    <t xml:space="preserve">vol.12</t>
  </si>
  <si>
    <t xml:space="preserve">YAGATE vol.12</t>
  </si>
  <si>
    <r>
      <rPr>
        <sz val="10"/>
        <color rgb="FF0000FF"/>
        <rFont val="Noto Sans CJK SC"/>
        <family val="2"/>
      </rPr>
      <t xml:space="preserve">開演</t>
    </r>
    <r>
      <rPr>
        <sz val="10"/>
        <color rgb="FF0000FF"/>
        <rFont val="Meiryo"/>
        <family val="0"/>
        <charset val="1"/>
      </rPr>
      <t xml:space="preserve">20:00</t>
    </r>
  </si>
  <si>
    <t xml:space="preserve">vol.13</t>
  </si>
  <si>
    <t xml:space="preserve">YAGATE vol.13</t>
  </si>
  <si>
    <r>
      <rPr>
        <sz val="10"/>
        <color rgb="FF0000FF"/>
        <rFont val="Meiryo"/>
        <family val="0"/>
        <charset val="1"/>
      </rPr>
      <t xml:space="preserve">Tiget</t>
    </r>
    <r>
      <rPr>
        <sz val="10"/>
        <color rgb="FF0000FF"/>
        <rFont val="Noto Sans CJK SC"/>
        <family val="2"/>
      </rPr>
      <t xml:space="preserve">予約枚数</t>
    </r>
  </si>
  <si>
    <t xml:space="preserve">vol.14</t>
  </si>
  <si>
    <t xml:space="preserve">YAGATE vol.14</t>
  </si>
  <si>
    <t xml:space="preserve">vol.15</t>
  </si>
  <si>
    <t xml:space="preserve">YAGATE vol.15</t>
  </si>
  <si>
    <t xml:space="preserve">vol.16</t>
  </si>
  <si>
    <t xml:space="preserve">YAGATE vol.16</t>
  </si>
  <si>
    <t xml:space="preserve">vol.17</t>
  </si>
  <si>
    <t xml:space="preserve">YAGATE vol.17</t>
  </si>
  <si>
    <t xml:space="preserve">vol.18</t>
  </si>
  <si>
    <t xml:space="preserve">YAGATE vol.18</t>
  </si>
  <si>
    <t xml:space="preserve">vol.19</t>
  </si>
  <si>
    <t xml:space="preserve">YAGATE vol.19</t>
  </si>
  <si>
    <t xml:space="preserve">vol.20</t>
  </si>
  <si>
    <t xml:space="preserve">YAGATE vol.20</t>
  </si>
  <si>
    <t xml:space="preserve">vol.21</t>
  </si>
  <si>
    <t xml:space="preserve">YAGATE vol.21</t>
  </si>
  <si>
    <t xml:space="preserve">友田オレ／リンドバーグ／イクラボブチャンチャン／シャワーカーテニスト</t>
  </si>
  <si>
    <t xml:space="preserve">vol.22</t>
  </si>
  <si>
    <t xml:space="preserve">YAGATE vol.22</t>
  </si>
  <si>
    <t xml:space="preserve">友田オレ／リンドバーグ／イクラボブチャンチャン／シャワーカーテニスト／清水駿平／ベルナルド／おミルク</t>
  </si>
  <si>
    <t xml:space="preserve">vol.23</t>
  </si>
  <si>
    <t xml:space="preserve">YAGATE vol.23</t>
  </si>
  <si>
    <t xml:space="preserve">友田オレ／リンドバーグ／イクラボブチャンチャン／シャワーカーテニスト／ガングリオン／テツロー／ボブのコーラ</t>
  </si>
  <si>
    <t xml:space="preserve">vol.24</t>
  </si>
  <si>
    <t xml:space="preserve">YAGATE vol.24</t>
  </si>
  <si>
    <t xml:space="preserve">友田オレ／リンドバーグ／イクラボブチャンチャン／シャワーカーテニスト／ダブルレンズ／スタミナパン</t>
  </si>
  <si>
    <t xml:space="preserve">vol.25</t>
  </si>
  <si>
    <t xml:space="preserve">YAGATE vol.25</t>
  </si>
  <si>
    <t xml:space="preserve">友田オレ／リンドバーグ／イクラボブチャンチャン／シャワーカーテニスト／群青団地／照山おうちごはん</t>
  </si>
  <si>
    <t xml:space="preserve">vol.26</t>
  </si>
  <si>
    <t xml:space="preserve">YAGATE vol.26</t>
  </si>
  <si>
    <t xml:space="preserve">友田オレ／リンドバーグ／イクラボブチャンチャン／シャワーカーテニスト／ド桜／あなたとネ</t>
  </si>
  <si>
    <t xml:space="preserve">vol.27</t>
  </si>
  <si>
    <t xml:space="preserve">YAGATE vol.27</t>
  </si>
  <si>
    <r>
      <rPr>
        <sz val="10"/>
        <rFont val="Noto Sans CJK SC"/>
        <family val="2"/>
      </rPr>
      <t xml:space="preserve">友田オレ／リンドバーグ／イクラボブチャンチャン／シャワーカーテニスト／大王／サツマカワ</t>
    </r>
    <r>
      <rPr>
        <sz val="10"/>
        <rFont val="Meiryo"/>
        <family val="0"/>
        <charset val="1"/>
      </rPr>
      <t xml:space="preserve">RPG</t>
    </r>
  </si>
  <si>
    <r>
      <rPr>
        <sz val="10"/>
        <color rgb="FF0000FF"/>
        <rFont val="Noto Sans CJK SC"/>
        <family val="2"/>
      </rPr>
      <t xml:space="preserve">日付は</t>
    </r>
    <r>
      <rPr>
        <sz val="10"/>
        <color rgb="FF0000FF"/>
        <rFont val="Meiryo"/>
        <family val="0"/>
        <charset val="1"/>
      </rPr>
      <t xml:space="preserve">Tiget</t>
    </r>
    <r>
      <rPr>
        <sz val="10"/>
        <color rgb="FF0000FF"/>
        <rFont val="Noto Sans CJK SC"/>
        <family val="2"/>
      </rPr>
      <t xml:space="preserve">表記</t>
    </r>
    <r>
      <rPr>
        <sz val="10"/>
        <color rgb="FF0000FF"/>
        <rFont val="Meiryo"/>
        <family val="0"/>
        <charset val="1"/>
      </rPr>
      <t xml:space="preserve">2025/09/29(</t>
    </r>
    <r>
      <rPr>
        <sz val="10"/>
        <color rgb="FF0000FF"/>
        <rFont val="Noto Sans CJK SC"/>
        <family val="2"/>
      </rPr>
      <t xml:space="preserve">月</t>
    </r>
    <r>
      <rPr>
        <sz val="10"/>
        <color rgb="FF0000FF"/>
        <rFont val="Meiryo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を採用（サイト表記は</t>
    </r>
    <r>
      <rPr>
        <sz val="10"/>
        <color rgb="FF0000FF"/>
        <rFont val="Meiryo"/>
        <family val="0"/>
        <charset val="1"/>
      </rPr>
      <t xml:space="preserve">09/30</t>
    </r>
    <r>
      <rPr>
        <sz val="10"/>
        <color rgb="FF0000FF"/>
        <rFont val="Noto Sans CJK SC"/>
        <family val="2"/>
      </rPr>
      <t xml:space="preserve">）</t>
    </r>
  </si>
  <si>
    <t xml:space="preserve">vol.28</t>
  </si>
  <si>
    <t xml:space="preserve">YAGATE vol.28</t>
  </si>
  <si>
    <t xml:space="preserve">友田オレ／リンドバーグ／イクラボブチャンチャン／シャワーカーテニスト／軟水／カナメストーン</t>
  </si>
  <si>
    <t xml:space="preserve">vol.29</t>
  </si>
  <si>
    <t xml:space="preserve">YAGATE vol.29</t>
  </si>
  <si>
    <t xml:space="preserve">友田オレ／リンドバーグ／イクラボブチャンチャン／シャワーカーテニスト／今夜も星が綺麗／ピュート</t>
  </si>
  <si>
    <t xml:space="preserve">学割あり</t>
  </si>
  <si>
    <t xml:space="preserve">vol.30</t>
  </si>
  <si>
    <t xml:space="preserve">YAGATE vol.30</t>
  </si>
  <si>
    <t xml:space="preserve">友田オレ／リンドバーグ／イクラボブチャンチャン／シャワーカーテニスト／金魚番長／無尽蔵</t>
  </si>
  <si>
    <t xml:space="preserve">vol.31</t>
  </si>
  <si>
    <t xml:space="preserve">YAGATE vol.31</t>
  </si>
  <si>
    <t xml:space="preserve">vol.32</t>
  </si>
  <si>
    <t xml:space="preserve">YAGATE vol.32</t>
  </si>
  <si>
    <t xml:space="preserve">リンドバーグ／イクラボブチャンチャン／シャワーカーテニスト／兄弟／百恵</t>
  </si>
  <si>
    <t xml:space="preserve">vol.33</t>
  </si>
  <si>
    <t xml:space="preserve">YAGATE vol.33 -SPECIAL-</t>
  </si>
  <si>
    <t xml:space="preserve">友田オレ／リンドバーグ／イクラボブチャンチャン／シャワーカーテニスト／ハリセンボン</t>
  </si>
  <si>
    <r>
      <rPr>
        <sz val="10"/>
        <color rgb="FF0000FF"/>
        <rFont val="Noto Sans CJK SC"/>
        <family val="2"/>
      </rPr>
      <t xml:space="preserve">単価</t>
    </r>
    <r>
      <rPr>
        <sz val="10"/>
        <color rgb="FF0000FF"/>
        <rFont val="Meiryo"/>
        <family val="0"/>
        <charset val="1"/>
      </rPr>
      <t xml:space="preserve">2,500</t>
    </r>
    <r>
      <rPr>
        <sz val="10"/>
        <color rgb="FF0000FF"/>
        <rFont val="Noto Sans CJK SC"/>
        <family val="2"/>
      </rPr>
      <t xml:space="preserve">円は仮置き（一般</t>
    </r>
    <r>
      <rPr>
        <sz val="10"/>
        <color rgb="FF0000FF"/>
        <rFont val="Meiryo"/>
        <family val="0"/>
        <charset val="1"/>
      </rPr>
      <t xml:space="preserve">185+247</t>
    </r>
    <r>
      <rPr>
        <sz val="10"/>
        <color rgb="FF0000FF"/>
        <rFont val="Noto Sans CJK SC"/>
        <family val="2"/>
      </rPr>
      <t xml:space="preserve">枚／桟敷</t>
    </r>
    <r>
      <rPr>
        <sz val="10"/>
        <color rgb="FF0000FF"/>
        <rFont val="Meiryo"/>
        <family val="0"/>
        <charset val="1"/>
      </rPr>
      <t xml:space="preserve">39+43</t>
    </r>
    <r>
      <rPr>
        <sz val="10"/>
        <color rgb="FF0000FF"/>
        <rFont val="Noto Sans CJK SC"/>
        <family val="2"/>
      </rPr>
      <t xml:space="preserve">枚）。要確認</t>
    </r>
  </si>
  <si>
    <t xml:space="preserve">vol.34</t>
  </si>
  <si>
    <t xml:space="preserve">YAGATE vol.34</t>
  </si>
  <si>
    <t xml:space="preserve">友田オレ／リンドバーグ／イクラボブチャンチャン／シャワーカーテニスト／ケビンス／お抹茶</t>
  </si>
  <si>
    <t xml:space="preserve">ほぼ完売</t>
  </si>
  <si>
    <t xml:space="preserve">vol.35</t>
  </si>
  <si>
    <t xml:space="preserve">YAGATE vol.35</t>
  </si>
  <si>
    <t xml:space="preserve">友田オレ／リンドバーグ舛谷／イクラボブチャンチャン／シャワーカーテニスト／深海魚／リバーサイドマエストロ／一向聴</t>
  </si>
  <si>
    <t xml:space="preserve">vol.36</t>
  </si>
  <si>
    <t xml:space="preserve">YAGATE vol.36</t>
  </si>
  <si>
    <t xml:space="preserve">友田オレ／リンドバーグ／イクラボブチャンチャン／シャワーカーテニスト／深海魚／リバーサイドマエストロ／一向聴</t>
  </si>
  <si>
    <t xml:space="preserve">vol.37</t>
  </si>
  <si>
    <t xml:space="preserve">YAGATE vol.37</t>
  </si>
  <si>
    <t xml:space="preserve">友田オレ／リンドバーグ／イクラボブチャンチャン／シャワーカーテニスト／深海魚／リバーサイドマエストロ／一向聴／チェット／無尽蔵</t>
  </si>
  <si>
    <t xml:space="preserve">vol.38</t>
  </si>
  <si>
    <t xml:space="preserve">YAGATE vol.38</t>
  </si>
  <si>
    <t xml:space="preserve">リンドバーグ／イクラボブチャンチャン／シャワーカーテニスト／深海魚／リバーサイドマエストロ／一向聴／チェット／群青団地</t>
  </si>
  <si>
    <t xml:space="preserve">友田オレ休演／販売中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</si>
  <si>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Meiryo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平均</t>
    </r>
  </si>
  <si>
    <t xml:space="preserve">※ 黄色セル＝手入力。白（黒字）セルは数式なので上書きしないでください。</t>
  </si>
  <si>
    <t xml:space="preserve">※ 出演組数は出演者欄の「／」区切りから自動カウントしています。</t>
  </si>
  <si>
    <r>
      <rPr>
        <sz val="9"/>
        <color rgb="FF666666"/>
        <rFont val="Noto Sans CJK SC"/>
        <family val="2"/>
      </rPr>
      <t xml:space="preserve">※ 損益分岐動員数＝コスト合計</t>
    </r>
    <r>
      <rPr>
        <sz val="9"/>
        <color rgb="FF666666"/>
        <rFont val="Meiryo"/>
        <family val="0"/>
        <charset val="1"/>
      </rPr>
      <t xml:space="preserve">÷</t>
    </r>
    <r>
      <rPr>
        <sz val="9"/>
        <color rgb="FF666666"/>
        <rFont val="Noto Sans CJK SC"/>
        <family val="2"/>
      </rPr>
      <t xml:space="preserve">チケット単価（物販等の付随収益を除いた保守的な水準）。</t>
    </r>
  </si>
  <si>
    <r>
      <rPr>
        <sz val="9"/>
        <color rgb="FFC00000"/>
        <rFont val="Noto Sans CJK SC"/>
        <family val="2"/>
      </rPr>
      <t xml:space="preserve">※ 会場名は一部に誤りがあるとの申告あり。</t>
    </r>
    <r>
      <rPr>
        <sz val="9"/>
        <color rgb="FFC00000"/>
        <rFont val="Meiryo"/>
        <family val="0"/>
        <charset val="1"/>
      </rPr>
      <t xml:space="preserve">E</t>
    </r>
    <r>
      <rPr>
        <sz val="9"/>
        <color rgb="FFC00000"/>
        <rFont val="Noto Sans CJK SC"/>
        <family val="2"/>
      </rPr>
      <t xml:space="preserve">列（青字）で修正してください。</t>
    </r>
  </si>
  <si>
    <r>
      <rPr>
        <sz val="9"/>
        <color rgb="FF666666"/>
        <rFont val="Meiryo"/>
        <family val="0"/>
        <charset val="1"/>
      </rPr>
      <t xml:space="preserve">※ vol.29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37</t>
    </r>
    <r>
      <rPr>
        <sz val="9"/>
        <color rgb="FF666666"/>
        <rFont val="Noto Sans CJK SC"/>
        <family val="2"/>
      </rPr>
      <t xml:space="preserve">の販売上限・販売枚数は</t>
    </r>
    <r>
      <rPr>
        <sz val="9"/>
        <color rgb="FF666666"/>
        <rFont val="Meiryo"/>
        <family val="0"/>
        <charset val="1"/>
      </rPr>
      <t xml:space="preserve">Tiget</t>
    </r>
    <r>
      <rPr>
        <sz val="9"/>
        <color rgb="FF666666"/>
        <rFont val="Noto Sans CJK SC"/>
        <family val="2"/>
      </rPr>
      <t xml:space="preserve">管理画面のスクリーンショットより転記（前売予約枚数。当日券は含まず）。</t>
    </r>
  </si>
  <si>
    <r>
      <rPr>
        <sz val="9"/>
        <color rgb="FF666666"/>
        <rFont val="Meiryo"/>
        <family val="0"/>
        <charset val="1"/>
      </rPr>
      <t xml:space="preserve">※ vol.1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・</t>
    </r>
    <r>
      <rPr>
        <sz val="9"/>
        <color rgb="FF666666"/>
        <rFont val="Meiryo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は実収支メモの実額を入力（</t>
    </r>
    <r>
      <rPr>
        <sz val="9"/>
        <color rgb="FF666666"/>
        <rFont val="Meiryo"/>
        <family val="0"/>
        <charset val="1"/>
      </rPr>
      <t xml:space="preserve">L</t>
    </r>
    <r>
      <rPr>
        <sz val="9"/>
        <color rgb="FF666666"/>
        <rFont val="Noto Sans CJK SC"/>
        <family val="2"/>
      </rPr>
      <t xml:space="preserve">列＝実チケット売上、</t>
    </r>
    <r>
      <rPr>
        <sz val="9"/>
        <color rgb="FF666666"/>
        <rFont val="Meiryo"/>
        <family val="0"/>
        <charset val="1"/>
      </rPr>
      <t xml:space="preserve">S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U</t>
    </r>
    <r>
      <rPr>
        <sz val="9"/>
        <color rgb="FF666666"/>
        <rFont val="Noto Sans CJK SC"/>
        <family val="2"/>
      </rPr>
      <t xml:space="preserve">列＝実コスト）。他の回は </t>
    </r>
    <r>
      <rPr>
        <sz val="9"/>
        <color rgb="FF666666"/>
        <rFont val="Meiryo"/>
        <family val="0"/>
        <charset val="1"/>
      </rPr>
      <t xml:space="preserve">L=</t>
    </r>
    <r>
      <rPr>
        <sz val="9"/>
        <color rgb="FF666666"/>
        <rFont val="Noto Sans CJK SC"/>
        <family val="2"/>
      </rPr>
      <t xml:space="preserve">単価</t>
    </r>
    <r>
      <rPr>
        <sz val="9"/>
        <color rgb="FF666666"/>
        <rFont val="Meiryo"/>
        <family val="0"/>
        <charset val="1"/>
      </rPr>
      <t xml:space="preserve">×</t>
    </r>
    <r>
      <rPr>
        <sz val="9"/>
        <color rgb="FF666666"/>
        <rFont val="Noto Sans CJK SC"/>
        <family val="2"/>
      </rPr>
      <t xml:space="preserve">販売枚数の推定値。</t>
    </r>
  </si>
  <si>
    <r>
      <rPr>
        <sz val="9"/>
        <color rgb="FFC00000"/>
        <rFont val="Noto Sans CJK SC"/>
        <family val="2"/>
      </rPr>
      <t xml:space="preserve">※ 実額のある回では 予約枚数 </t>
    </r>
    <r>
      <rPr>
        <sz val="9"/>
        <color rgb="FFC00000"/>
        <rFont val="Meiryo"/>
        <family val="0"/>
        <charset val="1"/>
      </rPr>
      <t xml:space="preserve">&gt; </t>
    </r>
    <r>
      <rPr>
        <sz val="9"/>
        <color rgb="FFC00000"/>
        <rFont val="Noto Sans CJK SC"/>
        <family val="2"/>
      </rPr>
      <t xml:space="preserve">実売上</t>
    </r>
    <r>
      <rPr>
        <sz val="9"/>
        <color rgb="FFC00000"/>
        <rFont val="Meiryo"/>
        <family val="0"/>
        <charset val="1"/>
      </rPr>
      <t xml:space="preserve">/</t>
    </r>
    <r>
      <rPr>
        <sz val="9"/>
        <color rgb="FFC00000"/>
        <rFont val="Noto Sans CJK SC"/>
        <family val="2"/>
      </rPr>
      <t xml:space="preserve">単価 となる（</t>
    </r>
    <r>
      <rPr>
        <sz val="9"/>
        <color rgb="FFC00000"/>
        <rFont val="Meiryo"/>
        <family val="0"/>
        <charset val="1"/>
      </rPr>
      <t xml:space="preserve">vol.10</t>
    </r>
    <r>
      <rPr>
        <sz val="9"/>
        <color rgb="FFC00000"/>
        <rFont val="Noto Sans CJK SC"/>
        <family val="2"/>
      </rPr>
      <t xml:space="preserve">：予約</t>
    </r>
    <r>
      <rPr>
        <sz val="9"/>
        <color rgb="FFC00000"/>
        <rFont val="Meiryo"/>
        <family val="0"/>
        <charset val="1"/>
      </rPr>
      <t xml:space="preserve">32</t>
    </r>
    <r>
      <rPr>
        <sz val="9"/>
        <color rgb="FFC00000"/>
        <rFont val="Noto Sans CJK SC"/>
        <family val="2"/>
      </rPr>
      <t xml:space="preserve">枚に対し売上</t>
    </r>
    <r>
      <rPr>
        <sz val="9"/>
        <color rgb="FFC00000"/>
        <rFont val="Meiryo"/>
        <family val="0"/>
        <charset val="1"/>
      </rPr>
      <t xml:space="preserve">18,000</t>
    </r>
    <r>
      <rPr>
        <sz val="9"/>
        <color rgb="FFC00000"/>
        <rFont val="Noto Sans CJK SC"/>
        <family val="2"/>
      </rPr>
      <t xml:space="preserve">円）。予約と入金の差は要確認。</t>
    </r>
  </si>
  <si>
    <r>
      <rPr>
        <sz val="9"/>
        <color rgb="FF666666"/>
        <rFont val="Noto Sans CJK SC"/>
        <family val="2"/>
      </rPr>
      <t xml:space="preserve">※ 会場：</t>
    </r>
    <r>
      <rPr>
        <sz val="9"/>
        <color rgb="FF666666"/>
        <rFont val="Meiryo"/>
        <family val="0"/>
        <charset val="1"/>
      </rPr>
      <t xml:space="preserve">vol.1</t>
    </r>
    <r>
      <rPr>
        <sz val="9"/>
        <color rgb="FF666666"/>
        <rFont val="Noto Sans CJK SC"/>
        <family val="2"/>
      </rPr>
      <t xml:space="preserve">＝渋谷ばぐちか、</t>
    </r>
    <r>
      <rPr>
        <sz val="9"/>
        <color rgb="FF666666"/>
        <rFont val="Meiryo"/>
        <family val="0"/>
        <charset val="1"/>
      </rPr>
      <t xml:space="preserve">vol.4/16/26/27</t>
    </r>
    <r>
      <rPr>
        <sz val="9"/>
        <color rgb="FF666666"/>
        <rFont val="Noto Sans CJK SC"/>
        <family val="2"/>
      </rPr>
      <t xml:space="preserve">＝下北沢シアターミネルヴァ（実収支メモより修正）。他の回の会場は未確認。</t>
    </r>
  </si>
  <si>
    <r>
      <rPr>
        <sz val="9"/>
        <color rgb="FF666666"/>
        <rFont val="Noto Sans CJK SC"/>
        <family val="2"/>
      </rPr>
      <t xml:space="preserve">※ 薄青セル（</t>
    </r>
    <r>
      <rPr>
        <sz val="9"/>
        <color rgb="FF666666"/>
        <rFont val="Meiryo"/>
        <family val="0"/>
        <charset val="1"/>
      </rPr>
      <t xml:space="preserve">S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U</t>
    </r>
    <r>
      <rPr>
        <sz val="9"/>
        <color rgb="FF666666"/>
        <rFont val="Noto Sans CJK SC"/>
        <family val="2"/>
      </rPr>
      <t xml:space="preserve">列）＝実額が未入力のため標準値を自動参照。</t>
    </r>
    <r>
      <rPr>
        <sz val="9"/>
        <color rgb="FF666666"/>
        <rFont val="Meiryo"/>
        <family val="0"/>
        <charset val="1"/>
      </rPr>
      <t xml:space="preserve">E</t>
    </r>
    <r>
      <rPr>
        <sz val="9"/>
        <color rgb="FF666666"/>
        <rFont val="Noto Sans CJK SC"/>
        <family val="2"/>
      </rPr>
      <t xml:space="preserve">列の会場名を直すと会場費が変わります。</t>
    </r>
  </si>
  <si>
    <r>
      <rPr>
        <sz val="9"/>
        <color rgb="FF666666"/>
        <rFont val="Noto Sans CJK SC"/>
        <family val="2"/>
      </rPr>
      <t xml:space="preserve">※ ゲストギャラ（</t>
    </r>
    <r>
      <rPr>
        <sz val="9"/>
        <color rgb="FF666666"/>
        <rFont val="Meiryo"/>
        <family val="0"/>
        <charset val="1"/>
      </rPr>
      <t xml:space="preserve">T</t>
    </r>
    <r>
      <rPr>
        <sz val="9"/>
        <color rgb="FF666666"/>
        <rFont val="Noto Sans CJK SC"/>
        <family val="2"/>
      </rPr>
      <t xml:space="preserve">列）は実額がない回は </t>
    </r>
    <r>
      <rPr>
        <sz val="9"/>
        <color rgb="FF666666"/>
        <rFont val="Meiryo"/>
        <family val="0"/>
        <charset val="1"/>
      </rPr>
      <t xml:space="preserve">AI</t>
    </r>
    <r>
      <rPr>
        <sz val="9"/>
        <color rgb="FF666666"/>
        <rFont val="Noto Sans CJK SC"/>
        <family val="2"/>
      </rPr>
      <t xml:space="preserve">列のゲスト組数</t>
    </r>
    <r>
      <rPr>
        <sz val="9"/>
        <color rgb="FF666666"/>
        <rFont val="Meiryo"/>
        <family val="0"/>
        <charset val="1"/>
      </rPr>
      <t xml:space="preserve">×4,000</t>
    </r>
    <r>
      <rPr>
        <sz val="9"/>
        <color rgb="FF666666"/>
        <rFont val="Noto Sans CJK SC"/>
        <family val="2"/>
      </rPr>
      <t xml:space="preserve">円で自動計算。レギュラー陣にはギャラが発生していない前提。</t>
    </r>
  </si>
  <si>
    <r>
      <rPr>
        <sz val="9"/>
        <color rgb="FFC00000"/>
        <rFont val="Meiryo"/>
        <family val="0"/>
        <charset val="1"/>
      </rPr>
      <t xml:space="preserve">※ vol.11</t>
    </r>
    <r>
      <rPr>
        <sz val="9"/>
        <color rgb="FFC00000"/>
        <rFont val="Noto Sans CJK SC"/>
        <family val="2"/>
      </rPr>
      <t xml:space="preserve">〜</t>
    </r>
    <r>
      <rPr>
        <sz val="9"/>
        <color rgb="FFC00000"/>
        <rFont val="Meiryo"/>
        <family val="0"/>
        <charset val="1"/>
      </rPr>
      <t xml:space="preserve">21</t>
    </r>
    <r>
      <rPr>
        <sz val="9"/>
        <color rgb="FFC00000"/>
        <rFont val="Noto Sans CJK SC"/>
        <family val="2"/>
      </rPr>
      <t xml:space="preserve">は出演者欄にゲスト名が記録されていないため、ゲスト</t>
    </r>
    <r>
      <rPr>
        <sz val="9"/>
        <color rgb="FFC00000"/>
        <rFont val="Meiryo"/>
        <family val="0"/>
        <charset val="1"/>
      </rPr>
      <t xml:space="preserve">3</t>
    </r>
    <r>
      <rPr>
        <sz val="9"/>
        <color rgb="FFC00000"/>
        <rFont val="Noto Sans CJK SC"/>
        <family val="2"/>
      </rPr>
      <t xml:space="preserve">組（</t>
    </r>
    <r>
      <rPr>
        <sz val="9"/>
        <color rgb="FFC00000"/>
        <rFont val="Meiryo"/>
        <family val="0"/>
        <charset val="1"/>
      </rPr>
      <t xml:space="preserve">vol.13</t>
    </r>
    <r>
      <rPr>
        <sz val="9"/>
        <color rgb="FFC00000"/>
        <rFont val="Noto Sans CJK SC"/>
        <family val="2"/>
      </rPr>
      <t xml:space="preserve">・</t>
    </r>
    <r>
      <rPr>
        <sz val="9"/>
        <color rgb="FFC00000"/>
        <rFont val="Meiryo"/>
        <family val="0"/>
        <charset val="1"/>
      </rPr>
      <t xml:space="preserve">16</t>
    </r>
    <r>
      <rPr>
        <sz val="9"/>
        <color rgb="FFC00000"/>
        <rFont val="Noto Sans CJK SC"/>
        <family val="2"/>
      </rPr>
      <t xml:space="preserve">の実額から推定）として計上。</t>
    </r>
  </si>
  <si>
    <t xml:space="preserve">公演回</t>
  </si>
  <si>
    <r>
      <rPr>
        <b val="true"/>
        <sz val="10"/>
        <color rgb="FFFFFFFF"/>
        <rFont val="Noto Sans CJK SC"/>
        <family val="2"/>
      </rPr>
      <t xml:space="preserve">予約者</t>
    </r>
    <r>
      <rPr>
        <b val="true"/>
        <sz val="10"/>
        <color rgb="FFFFFFFF"/>
        <rFont val="Meiryo"/>
        <family val="0"/>
        <charset val="1"/>
      </rPr>
      <t xml:space="preserve">ID</t>
    </r>
    <r>
      <rPr>
        <b val="true"/>
        <sz val="10"/>
        <color rgb="FFFFFFFF"/>
        <rFont val="Noto Sans CJK SC"/>
        <family val="2"/>
      </rPr>
      <t xml:space="preserve">（メール等）</t>
    </r>
  </si>
  <si>
    <t xml:space="preserve">氏名</t>
  </si>
  <si>
    <t xml:space="preserve">流入経路</t>
  </si>
  <si>
    <t xml:space="preserve">枚数</t>
  </si>
  <si>
    <r>
      <rPr>
        <b val="true"/>
        <sz val="10"/>
        <color rgb="FFFFFFFF"/>
        <rFont val="Noto Sans CJK SC"/>
        <family val="2"/>
      </rPr>
      <t xml:space="preserve">新規</t>
    </r>
    <r>
      <rPr>
        <b val="true"/>
        <sz val="10"/>
        <color rgb="FFFFFFFF"/>
        <rFont val="Meiryo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リピート</t>
    </r>
  </si>
  <si>
    <r>
      <rPr>
        <sz val="9"/>
        <color rgb="FF666666"/>
        <rFont val="Meiryo"/>
        <family val="0"/>
        <charset val="1"/>
      </rPr>
      <t xml:space="preserve">※ Tiget</t>
    </r>
    <r>
      <rPr>
        <sz val="9"/>
        <color rgb="FF666666"/>
        <rFont val="Noto Sans CJK SC"/>
        <family val="2"/>
      </rPr>
      <t xml:space="preserve">の予約者</t>
    </r>
    <r>
      <rPr>
        <sz val="9"/>
        <color rgb="FF666666"/>
        <rFont val="Meiryo"/>
        <family val="0"/>
        <charset val="1"/>
      </rPr>
      <t xml:space="preserve">CSV</t>
    </r>
    <r>
      <rPr>
        <sz val="9"/>
        <color rgb="FF666666"/>
        <rFont val="Noto Sans CJK SC"/>
        <family val="2"/>
      </rPr>
      <t xml:space="preserve">を</t>
    </r>
    <r>
      <rPr>
        <sz val="9"/>
        <color rgb="FF666666"/>
        <rFont val="Meiryo"/>
        <family val="0"/>
        <charset val="1"/>
      </rPr>
      <t xml:space="preserve">A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E</t>
    </r>
    <r>
      <rPr>
        <sz val="9"/>
        <color rgb="FF666666"/>
        <rFont val="Noto Sans CJK SC"/>
        <family val="2"/>
      </rPr>
      <t xml:space="preserve">列に貼り付けてください。</t>
    </r>
    <r>
      <rPr>
        <sz val="9"/>
        <color rgb="FF666666"/>
        <rFont val="Meiryo"/>
        <family val="0"/>
        <charset val="1"/>
      </rPr>
      <t xml:space="preserve">F</t>
    </r>
    <r>
      <rPr>
        <sz val="9"/>
        <color rgb="FF666666"/>
        <rFont val="Noto Sans CJK SC"/>
        <family val="2"/>
      </rPr>
      <t xml:space="preserve">列は自動判定です。</t>
    </r>
  </si>
  <si>
    <r>
      <rPr>
        <sz val="9"/>
        <color rgb="FF666666"/>
        <rFont val="Noto Sans CJK SC"/>
        <family val="2"/>
      </rPr>
      <t xml:space="preserve">※ 予約者</t>
    </r>
    <r>
      <rPr>
        <sz val="9"/>
        <color rgb="FF666666"/>
        <rFont val="Meiryo"/>
        <family val="0"/>
        <charset val="1"/>
      </rPr>
      <t xml:space="preserve">ID</t>
    </r>
    <r>
      <rPr>
        <sz val="9"/>
        <color rgb="FF666666"/>
        <rFont val="Noto Sans CJK SC"/>
        <family val="2"/>
      </rPr>
      <t xml:space="preserve">はメールアドレスなど、同一人物を一意に識別できる値を使ってください。</t>
    </r>
  </si>
  <si>
    <t xml:space="preserve">総アクセス</t>
  </si>
  <si>
    <t xml:space="preserve">Twitter</t>
  </si>
  <si>
    <r>
      <rPr>
        <b val="true"/>
        <sz val="10"/>
        <color rgb="FFFFFFFF"/>
        <rFont val="Meiryo"/>
        <family val="0"/>
        <charset val="1"/>
      </rPr>
      <t xml:space="preserve">Google</t>
    </r>
    <r>
      <rPr>
        <b val="true"/>
        <sz val="10"/>
        <color rgb="FFFFFFFF"/>
        <rFont val="Noto Sans CJK SC"/>
        <family val="2"/>
      </rPr>
      <t xml:space="preserve">検索</t>
    </r>
  </si>
  <si>
    <t xml:space="preserve">Instagram</t>
  </si>
  <si>
    <t xml:space="preserve">お笑い情報サイト</t>
  </si>
  <si>
    <t xml:space="preserve">その他</t>
  </si>
  <si>
    <t xml:space="preserve">CVR</t>
  </si>
  <si>
    <t xml:space="preserve">予測との差</t>
  </si>
  <si>
    <t xml:space="preserve">販売日数</t>
  </si>
  <si>
    <r>
      <rPr>
        <sz val="9"/>
        <color rgb="FF666666"/>
        <rFont val="Noto Sans CJK SC"/>
        <family val="2"/>
      </rPr>
      <t xml:space="preserve">※ 総アクセス・チャネル別は</t>
    </r>
    <r>
      <rPr>
        <sz val="9"/>
        <color rgb="FF666666"/>
        <rFont val="Meiryo"/>
        <family val="0"/>
        <charset val="1"/>
      </rPr>
      <t xml:space="preserve">Tiget</t>
    </r>
    <r>
      <rPr>
        <sz val="9"/>
        <color rgb="FF666666"/>
        <rFont val="Noto Sans CJK SC"/>
        <family val="2"/>
      </rPr>
      <t xml:space="preserve">の流入元画面より転記。</t>
    </r>
    <r>
      <rPr>
        <sz val="9"/>
        <color rgb="FF666666"/>
        <rFont val="Meiryo"/>
        <family val="0"/>
        <charset val="1"/>
      </rPr>
      <t xml:space="preserve">vol.33</t>
    </r>
    <r>
      <rPr>
        <sz val="9"/>
        <color rgb="FF666666"/>
        <rFont val="Noto Sans CJK SC"/>
        <family val="2"/>
      </rPr>
      <t xml:space="preserve">は未取得。</t>
    </r>
  </si>
  <si>
    <r>
      <rPr>
        <sz val="9"/>
        <color rgb="FF666666"/>
        <rFont val="Noto Sans CJK SC"/>
        <family val="2"/>
      </rPr>
      <t xml:space="preserve">※ 予測枚数＝全公演の回帰式（枚数＝傾き</t>
    </r>
    <r>
      <rPr>
        <sz val="9"/>
        <color rgb="FF666666"/>
        <rFont val="Meiryo"/>
        <family val="0"/>
        <charset val="1"/>
      </rPr>
      <t xml:space="preserve">×</t>
    </r>
    <r>
      <rPr>
        <sz val="9"/>
        <color rgb="FF666666"/>
        <rFont val="Noto Sans CJK SC"/>
        <family val="2"/>
      </rPr>
      <t xml:space="preserve">アクセス＋切片）。</t>
    </r>
    <r>
      <rPr>
        <sz val="9"/>
        <color rgb="FF666666"/>
        <rFont val="Meiryo"/>
        <family val="0"/>
        <charset val="1"/>
      </rPr>
      <t xml:space="preserve">M1/N1</t>
    </r>
    <r>
      <rPr>
        <sz val="9"/>
        <color rgb="FF666666"/>
        <rFont val="Noto Sans CJK SC"/>
        <family val="2"/>
      </rPr>
      <t xml:space="preserve">セルに係数を自動計算。</t>
    </r>
  </si>
  <si>
    <r>
      <rPr>
        <sz val="9"/>
        <color rgb="FF666666"/>
        <rFont val="Noto Sans CJK SC"/>
        <family val="2"/>
      </rPr>
      <t xml:space="preserve">※ 販売日数・公開日ピークは日別グラフからの読み取り値（</t>
    </r>
    <r>
      <rPr>
        <sz val="9"/>
        <color rgb="FF666666"/>
        <rFont val="Meiryo"/>
        <family val="0"/>
        <charset val="1"/>
      </rPr>
      <t xml:space="preserve">vol.34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37</t>
    </r>
    <r>
      <rPr>
        <sz val="9"/>
        <color rgb="FF666666"/>
        <rFont val="Noto Sans CJK SC"/>
        <family val="2"/>
      </rPr>
      <t xml:space="preserve">のみ）。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</si>
</sst>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¥#,##0;&quot;(¥&quot;#,##0\);\-"/>
    <numFmt numFmtId="167" formatCode="0.0%"/>
    <numFmt numFmtId="168" formatCode="0.00"/>
    <numFmt numFmtId="169" formatCode="0.0000"/>
    <numFmt numFmtId="170" formatCode="yyyy/mm/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eiryo"/>
      <family val="0"/>
      <charset val="1"/>
    </font>
    <font>
      <b val="true"/>
      <sz val="14"/>
      <name val="Noto Sans CJK SC"/>
      <family val="2"/>
    </font>
    <font>
      <sz val="9"/>
      <color rgb="FF666666"/>
      <name val="Noto Sans CJK SC"/>
      <family val="2"/>
    </font>
    <font>
      <b val="true"/>
      <sz val="10"/>
      <name val="Noto Sans CJK SC"/>
      <family val="2"/>
    </font>
    <font>
      <b val="true"/>
      <sz val="13"/>
      <name val="Meiryo"/>
      <family val="0"/>
      <charset val="1"/>
    </font>
    <font>
      <b val="true"/>
      <sz val="10"/>
      <name val="Meiryo"/>
      <family val="0"/>
      <charset val="1"/>
    </font>
    <font>
      <sz val="9"/>
      <color rgb="FF666666"/>
      <name val="Meiryo"/>
      <family val="0"/>
      <charset val="1"/>
    </font>
    <font>
      <b val="true"/>
      <sz val="12"/>
      <name val="Meiryo"/>
      <family val="0"/>
      <charset val="1"/>
    </font>
    <font>
      <b val="true"/>
      <sz val="10"/>
      <color rgb="FFFFFFFF"/>
      <name val="Noto Sans CJK SC"/>
      <family val="2"/>
    </font>
    <font>
      <sz val="10"/>
      <name val="Meiryo"/>
      <family val="0"/>
      <charset val="1"/>
    </font>
    <font>
      <sz val="10"/>
      <name val="Noto Sans CJK SC"/>
      <family val="2"/>
    </font>
    <font>
      <sz val="9"/>
      <color rgb="FFC00000"/>
      <name val="Noto Sans CJK SC"/>
      <family val="2"/>
    </font>
    <font>
      <sz val="10"/>
      <color rgb="FF0000FF"/>
      <name val="Meiryo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b val="true"/>
      <sz val="9"/>
      <name val="Noto Sans CJK SC"/>
      <family val="2"/>
    </font>
    <font>
      <sz val="9"/>
      <color rgb="FFC00000"/>
      <name val="Meiryo"/>
      <family val="0"/>
      <charset val="1"/>
    </font>
    <font>
      <b val="true"/>
      <sz val="9"/>
      <color rgb="FF171310"/>
      <name val="Noto Sans CJK SC"/>
      <family val="2"/>
    </font>
    <font>
      <sz val="10"/>
      <color rgb="FF008000"/>
      <name val="Meiryo"/>
      <family val="0"/>
      <charset val="1"/>
    </font>
    <font>
      <sz val="10"/>
      <name val="Arial"/>
      <family val="2"/>
    </font>
    <font>
      <b val="true"/>
      <sz val="10"/>
      <color rgb="FFFFFFFF"/>
      <name val="Meiryo"/>
      <family val="0"/>
      <charset val="1"/>
    </font>
    <font>
      <sz val="8"/>
      <color rgb="FF999999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1EB"/>
        <bgColor rgb="FFEFE9E2"/>
      </patternFill>
    </fill>
    <fill>
      <patternFill patternType="solid">
        <fgColor rgb="FF171310"/>
        <bgColor rgb="FF000000"/>
      </patternFill>
    </fill>
    <fill>
      <patternFill patternType="solid">
        <fgColor rgb="FFEFE9E2"/>
        <bgColor rgb="FFF5F1EB"/>
      </patternFill>
    </fill>
    <fill>
      <patternFill patternType="solid">
        <fgColor rgb="FFFFFFCC"/>
        <bgColor rgb="FFF5F1EB"/>
      </patternFill>
    </fill>
    <fill>
      <patternFill patternType="solid">
        <fgColor rgb="FFF0F5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F0F5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FE9E2"/>
      <rgbColor rgb="FFF5F1EB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F81BD"/>
      <rgbColor rgb="FF1713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公演別 販売枚数の推移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公演データ!J2</c:f>
              <c:strCache>
                <c:ptCount val="1"/>
                <c:pt idx="0">
                  <c:v>販売枚数
（予約）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公演データ!$A$3:$A$40</c:f>
              <c:strCache>
                <c:ptCount val="38"/>
                <c:pt idx="0">
                  <c:v>vol.1</c:v>
                </c:pt>
                <c:pt idx="1">
                  <c:v>vol.2</c:v>
                </c:pt>
                <c:pt idx="2">
                  <c:v>vol.3</c:v>
                </c:pt>
                <c:pt idx="3">
                  <c:v>vol.4</c:v>
                </c:pt>
                <c:pt idx="4">
                  <c:v>vol.5</c:v>
                </c:pt>
                <c:pt idx="5">
                  <c:v>vol.6</c:v>
                </c:pt>
                <c:pt idx="6">
                  <c:v>vol.7</c:v>
                </c:pt>
                <c:pt idx="7">
                  <c:v>vol.8</c:v>
                </c:pt>
                <c:pt idx="8">
                  <c:v>vol.9</c:v>
                </c:pt>
                <c:pt idx="9">
                  <c:v>vol.10</c:v>
                </c:pt>
                <c:pt idx="10">
                  <c:v>vol.11</c:v>
                </c:pt>
                <c:pt idx="11">
                  <c:v>vol.12</c:v>
                </c:pt>
                <c:pt idx="12">
                  <c:v>vol.13</c:v>
                </c:pt>
                <c:pt idx="13">
                  <c:v>vol.14</c:v>
                </c:pt>
                <c:pt idx="14">
                  <c:v>vol.15</c:v>
                </c:pt>
                <c:pt idx="15">
                  <c:v>vol.16</c:v>
                </c:pt>
                <c:pt idx="16">
                  <c:v>vol.17</c:v>
                </c:pt>
                <c:pt idx="17">
                  <c:v>vol.18</c:v>
                </c:pt>
                <c:pt idx="18">
                  <c:v>vol.19</c:v>
                </c:pt>
                <c:pt idx="19">
                  <c:v>vol.20</c:v>
                </c:pt>
                <c:pt idx="20">
                  <c:v>vol.21</c:v>
                </c:pt>
                <c:pt idx="21">
                  <c:v>vol.22</c:v>
                </c:pt>
                <c:pt idx="22">
                  <c:v>vol.23</c:v>
                </c:pt>
                <c:pt idx="23">
                  <c:v>vol.24</c:v>
                </c:pt>
                <c:pt idx="24">
                  <c:v>vol.25</c:v>
                </c:pt>
                <c:pt idx="25">
                  <c:v>vol.26</c:v>
                </c:pt>
                <c:pt idx="26">
                  <c:v>vol.27</c:v>
                </c:pt>
                <c:pt idx="27">
                  <c:v>vol.28</c:v>
                </c:pt>
                <c:pt idx="28">
                  <c:v>vol.29</c:v>
                </c:pt>
                <c:pt idx="29">
                  <c:v>vol.30</c:v>
                </c:pt>
                <c:pt idx="30">
                  <c:v>vol.31</c:v>
                </c:pt>
                <c:pt idx="31">
                  <c:v>vol.32</c:v>
                </c:pt>
                <c:pt idx="32">
                  <c:v>vol.33</c:v>
                </c:pt>
                <c:pt idx="33">
                  <c:v>vol.34</c:v>
                </c:pt>
                <c:pt idx="34">
                  <c:v>vol.35</c:v>
                </c:pt>
                <c:pt idx="35">
                  <c:v>vol.36</c:v>
                </c:pt>
                <c:pt idx="36">
                  <c:v>vol.37</c:v>
                </c:pt>
                <c:pt idx="37">
                  <c:v>vol.38</c:v>
                </c:pt>
              </c:strCache>
            </c:strRef>
          </c:cat>
          <c:val>
            <c:numRef>
              <c:f>公演データ!$J$3:$J$40</c:f>
              <c:numCache>
                <c:formatCode>#,##0;\(#,##0\);\-</c:formatCode>
                <c:ptCount val="38"/>
                <c:pt idx="0">
                  <c:v>16</c:v>
                </c:pt>
                <c:pt idx="1">
                  <c:v>13</c:v>
                </c:pt>
                <c:pt idx="2">
                  <c:v>30</c:v>
                </c:pt>
                <c:pt idx="3">
                  <c:v>16</c:v>
                </c:pt>
                <c:pt idx="4">
                  <c:v>25</c:v>
                </c:pt>
                <c:pt idx="5">
                  <c:v>19</c:v>
                </c:pt>
                <c:pt idx="6">
                  <c:v>14</c:v>
                </c:pt>
                <c:pt idx="7">
                  <c:v>60</c:v>
                </c:pt>
                <c:pt idx="8">
                  <c:v>42</c:v>
                </c:pt>
                <c:pt idx="9">
                  <c:v>32</c:v>
                </c:pt>
                <c:pt idx="10">
                  <c:v>33</c:v>
                </c:pt>
                <c:pt idx="11">
                  <c:v>14</c:v>
                </c:pt>
                <c:pt idx="12">
                  <c:v>22</c:v>
                </c:pt>
                <c:pt idx="13">
                  <c:v>16</c:v>
                </c:pt>
                <c:pt idx="14">
                  <c:v>38</c:v>
                </c:pt>
                <c:pt idx="15">
                  <c:v>13</c:v>
                </c:pt>
                <c:pt idx="16">
                  <c:v>32</c:v>
                </c:pt>
                <c:pt idx="17">
                  <c:v>11</c:v>
                </c:pt>
                <c:pt idx="18">
                  <c:v>21</c:v>
                </c:pt>
                <c:pt idx="19">
                  <c:v>19</c:v>
                </c:pt>
                <c:pt idx="20">
                  <c:v>54</c:v>
                </c:pt>
                <c:pt idx="21">
                  <c:v>14</c:v>
                </c:pt>
                <c:pt idx="22">
                  <c:v>27</c:v>
                </c:pt>
                <c:pt idx="23">
                  <c:v>18</c:v>
                </c:pt>
                <c:pt idx="24">
                  <c:v>27</c:v>
                </c:pt>
                <c:pt idx="25">
                  <c:v>34</c:v>
                </c:pt>
                <c:pt idx="26">
                  <c:v>20</c:v>
                </c:pt>
                <c:pt idx="27">
                  <c:v>35</c:v>
                </c:pt>
                <c:pt idx="28">
                  <c:v>33</c:v>
                </c:pt>
                <c:pt idx="29">
                  <c:v>29</c:v>
                </c:pt>
                <c:pt idx="30">
                  <c:v>44</c:v>
                </c:pt>
                <c:pt idx="31">
                  <c:v>21</c:v>
                </c:pt>
                <c:pt idx="32">
                  <c:v>74</c:v>
                </c:pt>
                <c:pt idx="33">
                  <c:v>64</c:v>
                </c:pt>
                <c:pt idx="34">
                  <c:v>28</c:v>
                </c:pt>
                <c:pt idx="35">
                  <c:v>19</c:v>
                </c:pt>
                <c:pt idx="36">
                  <c:v>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025972"/>
        <c:axId val="96149822"/>
      </c:lineChart>
      <c:catAx>
        <c:axId val="84025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49822"/>
        <c:crosses val="autoZero"/>
        <c:auto val="1"/>
        <c:lblAlgn val="ctr"/>
        <c:lblOffset val="100"/>
        <c:noMultiLvlLbl val="0"/>
      </c:catAx>
      <c:valAx>
        <c:axId val="96149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販売枚数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25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公演別 売上と粗利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公演データ!R2</c:f>
              <c:strCache>
                <c:ptCount val="1"/>
                <c:pt idx="0">
                  <c:v>売上合計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公演データ!$A$3:$A$40</c:f>
              <c:strCache>
                <c:ptCount val="38"/>
                <c:pt idx="0">
                  <c:v>vol.1</c:v>
                </c:pt>
                <c:pt idx="1">
                  <c:v>vol.2</c:v>
                </c:pt>
                <c:pt idx="2">
                  <c:v>vol.3</c:v>
                </c:pt>
                <c:pt idx="3">
                  <c:v>vol.4</c:v>
                </c:pt>
                <c:pt idx="4">
                  <c:v>vol.5</c:v>
                </c:pt>
                <c:pt idx="5">
                  <c:v>vol.6</c:v>
                </c:pt>
                <c:pt idx="6">
                  <c:v>vol.7</c:v>
                </c:pt>
                <c:pt idx="7">
                  <c:v>vol.8</c:v>
                </c:pt>
                <c:pt idx="8">
                  <c:v>vol.9</c:v>
                </c:pt>
                <c:pt idx="9">
                  <c:v>vol.10</c:v>
                </c:pt>
                <c:pt idx="10">
                  <c:v>vol.11</c:v>
                </c:pt>
                <c:pt idx="11">
                  <c:v>vol.12</c:v>
                </c:pt>
                <c:pt idx="12">
                  <c:v>vol.13</c:v>
                </c:pt>
                <c:pt idx="13">
                  <c:v>vol.14</c:v>
                </c:pt>
                <c:pt idx="14">
                  <c:v>vol.15</c:v>
                </c:pt>
                <c:pt idx="15">
                  <c:v>vol.16</c:v>
                </c:pt>
                <c:pt idx="16">
                  <c:v>vol.17</c:v>
                </c:pt>
                <c:pt idx="17">
                  <c:v>vol.18</c:v>
                </c:pt>
                <c:pt idx="18">
                  <c:v>vol.19</c:v>
                </c:pt>
                <c:pt idx="19">
                  <c:v>vol.20</c:v>
                </c:pt>
                <c:pt idx="20">
                  <c:v>vol.21</c:v>
                </c:pt>
                <c:pt idx="21">
                  <c:v>vol.22</c:v>
                </c:pt>
                <c:pt idx="22">
                  <c:v>vol.23</c:v>
                </c:pt>
                <c:pt idx="23">
                  <c:v>vol.24</c:v>
                </c:pt>
                <c:pt idx="24">
                  <c:v>vol.25</c:v>
                </c:pt>
                <c:pt idx="25">
                  <c:v>vol.26</c:v>
                </c:pt>
                <c:pt idx="26">
                  <c:v>vol.27</c:v>
                </c:pt>
                <c:pt idx="27">
                  <c:v>vol.28</c:v>
                </c:pt>
                <c:pt idx="28">
                  <c:v>vol.29</c:v>
                </c:pt>
                <c:pt idx="29">
                  <c:v>vol.30</c:v>
                </c:pt>
                <c:pt idx="30">
                  <c:v>vol.31</c:v>
                </c:pt>
                <c:pt idx="31">
                  <c:v>vol.32</c:v>
                </c:pt>
                <c:pt idx="32">
                  <c:v>vol.33</c:v>
                </c:pt>
                <c:pt idx="33">
                  <c:v>vol.34</c:v>
                </c:pt>
                <c:pt idx="34">
                  <c:v>vol.35</c:v>
                </c:pt>
                <c:pt idx="35">
                  <c:v>vol.36</c:v>
                </c:pt>
                <c:pt idx="36">
                  <c:v>vol.37</c:v>
                </c:pt>
                <c:pt idx="37">
                  <c:v>vol.38</c:v>
                </c:pt>
              </c:strCache>
            </c:strRef>
          </c:cat>
          <c:val>
            <c:numRef>
              <c:f>公演データ!$R$3:$R$40</c:f>
              <c:numCache>
                <c:formatCode>\¥#,##0;"(¥"#,##0\);\-</c:formatCode>
                <c:ptCount val="38"/>
                <c:pt idx="0">
                  <c:v>19500</c:v>
                </c:pt>
                <c:pt idx="1">
                  <c:v>18000</c:v>
                </c:pt>
                <c:pt idx="2">
                  <c:v>48175</c:v>
                </c:pt>
                <c:pt idx="3">
                  <c:v>24405</c:v>
                </c:pt>
                <c:pt idx="4">
                  <c:v>37500</c:v>
                </c:pt>
                <c:pt idx="5">
                  <c:v>28500</c:v>
                </c:pt>
                <c:pt idx="6">
                  <c:v>21000</c:v>
                </c:pt>
                <c:pt idx="7">
                  <c:v>90000</c:v>
                </c:pt>
                <c:pt idx="8">
                  <c:v>63000</c:v>
                </c:pt>
                <c:pt idx="9">
                  <c:v>18000</c:v>
                </c:pt>
                <c:pt idx="10">
                  <c:v>33000</c:v>
                </c:pt>
                <c:pt idx="11">
                  <c:v>21000</c:v>
                </c:pt>
                <c:pt idx="12">
                  <c:v>22500</c:v>
                </c:pt>
                <c:pt idx="13">
                  <c:v>24000</c:v>
                </c:pt>
                <c:pt idx="14">
                  <c:v>57000</c:v>
                </c:pt>
                <c:pt idx="15">
                  <c:v>17000</c:v>
                </c:pt>
                <c:pt idx="16">
                  <c:v>48000</c:v>
                </c:pt>
                <c:pt idx="17">
                  <c:v>16500</c:v>
                </c:pt>
                <c:pt idx="18">
                  <c:v>31500</c:v>
                </c:pt>
                <c:pt idx="19">
                  <c:v>28500</c:v>
                </c:pt>
                <c:pt idx="20">
                  <c:v>81000</c:v>
                </c:pt>
                <c:pt idx="21">
                  <c:v>21000</c:v>
                </c:pt>
                <c:pt idx="22">
                  <c:v>40500</c:v>
                </c:pt>
                <c:pt idx="23">
                  <c:v>27000</c:v>
                </c:pt>
                <c:pt idx="24">
                  <c:v>40500</c:v>
                </c:pt>
                <c:pt idx="25">
                  <c:v>41500</c:v>
                </c:pt>
                <c:pt idx="26">
                  <c:v>24000</c:v>
                </c:pt>
                <c:pt idx="27">
                  <c:v>52500</c:v>
                </c:pt>
                <c:pt idx="28">
                  <c:v>49500</c:v>
                </c:pt>
                <c:pt idx="29">
                  <c:v>43500</c:v>
                </c:pt>
                <c:pt idx="30">
                  <c:v>66000</c:v>
                </c:pt>
                <c:pt idx="31">
                  <c:v>31500</c:v>
                </c:pt>
                <c:pt idx="32">
                  <c:v>185000</c:v>
                </c:pt>
                <c:pt idx="33">
                  <c:v>96000</c:v>
                </c:pt>
                <c:pt idx="34">
                  <c:v>42000</c:v>
                </c:pt>
                <c:pt idx="35">
                  <c:v>28500</c:v>
                </c:pt>
                <c:pt idx="36">
                  <c:v>66000</c:v>
                </c:pt>
              </c:numCache>
            </c:numRef>
          </c:val>
        </c:ser>
        <c:ser>
          <c:idx val="1"/>
          <c:order val="1"/>
          <c:tx>
            <c:strRef>
              <c:f>公演データ!X2</c:f>
              <c:strCache>
                <c:ptCount val="1"/>
                <c:pt idx="0">
                  <c:v>粗利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公演データ!$A$3:$A$40</c:f>
              <c:strCache>
                <c:ptCount val="38"/>
                <c:pt idx="0">
                  <c:v>vol.1</c:v>
                </c:pt>
                <c:pt idx="1">
                  <c:v>vol.2</c:v>
                </c:pt>
                <c:pt idx="2">
                  <c:v>vol.3</c:v>
                </c:pt>
                <c:pt idx="3">
                  <c:v>vol.4</c:v>
                </c:pt>
                <c:pt idx="4">
                  <c:v>vol.5</c:v>
                </c:pt>
                <c:pt idx="5">
                  <c:v>vol.6</c:v>
                </c:pt>
                <c:pt idx="6">
                  <c:v>vol.7</c:v>
                </c:pt>
                <c:pt idx="7">
                  <c:v>vol.8</c:v>
                </c:pt>
                <c:pt idx="8">
                  <c:v>vol.9</c:v>
                </c:pt>
                <c:pt idx="9">
                  <c:v>vol.10</c:v>
                </c:pt>
                <c:pt idx="10">
                  <c:v>vol.11</c:v>
                </c:pt>
                <c:pt idx="11">
                  <c:v>vol.12</c:v>
                </c:pt>
                <c:pt idx="12">
                  <c:v>vol.13</c:v>
                </c:pt>
                <c:pt idx="13">
                  <c:v>vol.14</c:v>
                </c:pt>
                <c:pt idx="14">
                  <c:v>vol.15</c:v>
                </c:pt>
                <c:pt idx="15">
                  <c:v>vol.16</c:v>
                </c:pt>
                <c:pt idx="16">
                  <c:v>vol.17</c:v>
                </c:pt>
                <c:pt idx="17">
                  <c:v>vol.18</c:v>
                </c:pt>
                <c:pt idx="18">
                  <c:v>vol.19</c:v>
                </c:pt>
                <c:pt idx="19">
                  <c:v>vol.20</c:v>
                </c:pt>
                <c:pt idx="20">
                  <c:v>vol.21</c:v>
                </c:pt>
                <c:pt idx="21">
                  <c:v>vol.22</c:v>
                </c:pt>
                <c:pt idx="22">
                  <c:v>vol.23</c:v>
                </c:pt>
                <c:pt idx="23">
                  <c:v>vol.24</c:v>
                </c:pt>
                <c:pt idx="24">
                  <c:v>vol.25</c:v>
                </c:pt>
                <c:pt idx="25">
                  <c:v>vol.26</c:v>
                </c:pt>
                <c:pt idx="26">
                  <c:v>vol.27</c:v>
                </c:pt>
                <c:pt idx="27">
                  <c:v>vol.28</c:v>
                </c:pt>
                <c:pt idx="28">
                  <c:v>vol.29</c:v>
                </c:pt>
                <c:pt idx="29">
                  <c:v>vol.30</c:v>
                </c:pt>
                <c:pt idx="30">
                  <c:v>vol.31</c:v>
                </c:pt>
                <c:pt idx="31">
                  <c:v>vol.32</c:v>
                </c:pt>
                <c:pt idx="32">
                  <c:v>vol.33</c:v>
                </c:pt>
                <c:pt idx="33">
                  <c:v>vol.34</c:v>
                </c:pt>
                <c:pt idx="34">
                  <c:v>vol.35</c:v>
                </c:pt>
                <c:pt idx="35">
                  <c:v>vol.36</c:v>
                </c:pt>
                <c:pt idx="36">
                  <c:v>vol.37</c:v>
                </c:pt>
                <c:pt idx="37">
                  <c:v>vol.38</c:v>
                </c:pt>
              </c:strCache>
            </c:strRef>
          </c:cat>
          <c:val>
            <c:numRef>
              <c:f>公演データ!$X$3:$X$40</c:f>
              <c:numCache>
                <c:formatCode>\¥#,##0;"(¥"#,##0\);\-</c:formatCode>
                <c:ptCount val="38"/>
                <c:pt idx="0">
                  <c:v>2500</c:v>
                </c:pt>
                <c:pt idx="1">
                  <c:v>-47000</c:v>
                </c:pt>
                <c:pt idx="2">
                  <c:v>-23825</c:v>
                </c:pt>
                <c:pt idx="3">
                  <c:v>-33595</c:v>
                </c:pt>
                <c:pt idx="4">
                  <c:v>-32500</c:v>
                </c:pt>
                <c:pt idx="5">
                  <c:v>-36500</c:v>
                </c:pt>
                <c:pt idx="6">
                  <c:v>-48000</c:v>
                </c:pt>
                <c:pt idx="7">
                  <c:v>25000</c:v>
                </c:pt>
                <c:pt idx="8">
                  <c:v>-2000</c:v>
                </c:pt>
                <c:pt idx="9">
                  <c:v>-40000</c:v>
                </c:pt>
                <c:pt idx="10">
                  <c:v>-28000</c:v>
                </c:pt>
                <c:pt idx="11">
                  <c:v>-40000</c:v>
                </c:pt>
                <c:pt idx="12">
                  <c:v>-38500</c:v>
                </c:pt>
                <c:pt idx="13">
                  <c:v>-37000</c:v>
                </c:pt>
                <c:pt idx="14">
                  <c:v>-4000</c:v>
                </c:pt>
                <c:pt idx="15">
                  <c:v>-33800</c:v>
                </c:pt>
                <c:pt idx="16">
                  <c:v>-13000</c:v>
                </c:pt>
                <c:pt idx="17">
                  <c:v>-44500</c:v>
                </c:pt>
                <c:pt idx="18">
                  <c:v>-29500</c:v>
                </c:pt>
                <c:pt idx="19">
                  <c:v>-32500</c:v>
                </c:pt>
                <c:pt idx="20">
                  <c:v>20000</c:v>
                </c:pt>
                <c:pt idx="21">
                  <c:v>-40000</c:v>
                </c:pt>
                <c:pt idx="22">
                  <c:v>-20500</c:v>
                </c:pt>
                <c:pt idx="23">
                  <c:v>-30000</c:v>
                </c:pt>
                <c:pt idx="24">
                  <c:v>-16500</c:v>
                </c:pt>
                <c:pt idx="25">
                  <c:v>-4300</c:v>
                </c:pt>
                <c:pt idx="26">
                  <c:v>-19600</c:v>
                </c:pt>
                <c:pt idx="27">
                  <c:v>-4500</c:v>
                </c:pt>
                <c:pt idx="28">
                  <c:v>-7500</c:v>
                </c:pt>
                <c:pt idx="29">
                  <c:v>-13500</c:v>
                </c:pt>
                <c:pt idx="30">
                  <c:v>9000</c:v>
                </c:pt>
                <c:pt idx="31">
                  <c:v>-25500</c:v>
                </c:pt>
                <c:pt idx="32">
                  <c:v>132000</c:v>
                </c:pt>
                <c:pt idx="33">
                  <c:v>39000</c:v>
                </c:pt>
                <c:pt idx="34">
                  <c:v>-7000</c:v>
                </c:pt>
                <c:pt idx="35">
                  <c:v>-20500</c:v>
                </c:pt>
                <c:pt idx="36">
                  <c:v>13000</c:v>
                </c:pt>
              </c:numCache>
            </c:numRef>
          </c:val>
        </c:ser>
        <c:gapWidth val="150"/>
        <c:overlap val="0"/>
        <c:axId val="60287461"/>
        <c:axId val="16260661"/>
      </c:barChart>
      <c:catAx>
        <c:axId val="60287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60661"/>
        <c:crosses val="autoZero"/>
        <c:auto val="1"/>
        <c:lblAlgn val="ctr"/>
        <c:lblOffset val="100"/>
        <c:noMultiLvlLbl val="0"/>
      </c:catAx>
      <c:valAx>
        <c:axId val="16260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¥#,##0;&quot;(¥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87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106920</xdr:rowOff>
    </xdr:from>
    <xdr:to>
      <xdr:col>6</xdr:col>
      <xdr:colOff>57960</xdr:colOff>
      <xdr:row>57</xdr:row>
      <xdr:rowOff>139320</xdr:rowOff>
    </xdr:to>
    <xdr:graphicFrame>
      <xdr:nvGraphicFramePr>
        <xdr:cNvPr id="0" name="Chart 1"/>
        <xdr:cNvGraphicFramePr/>
      </xdr:nvGraphicFramePr>
      <xdr:xfrm>
        <a:off x="211320" y="85536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60</xdr:row>
      <xdr:rowOff>106560</xdr:rowOff>
    </xdr:from>
    <xdr:to>
      <xdr:col>6</xdr:col>
      <xdr:colOff>57960</xdr:colOff>
      <xdr:row>74</xdr:row>
      <xdr:rowOff>139320</xdr:rowOff>
    </xdr:to>
    <xdr:graphicFrame>
      <xdr:nvGraphicFramePr>
        <xdr:cNvPr id="1" name="Chart 2"/>
        <xdr:cNvGraphicFramePr/>
      </xdr:nvGraphicFramePr>
      <xdr:xfrm>
        <a:off x="211320" y="117918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13" min="9" style="0" width="14"/>
  </cols>
  <sheetData>
    <row r="1" customFormat="false" ht="21.6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21.75" hidden="false" customHeight="true" outlineLevel="0" collapsed="false">
      <c r="B6" s="5" t="n">
        <f aca="false">COUNTA(公演データ!$A$3:$A$40)</f>
        <v>38</v>
      </c>
      <c r="C6" s="5" t="n">
        <f aca="false">SUM(公演データ!$J$3:$J$40)</f>
        <v>1071</v>
      </c>
      <c r="D6" s="6" t="n">
        <f aca="false">SUM(公演データ!$R$3:$R$40)</f>
        <v>1603080</v>
      </c>
      <c r="E6" s="6" t="n">
        <f aca="false">SUM(公演データ!$X$3:$X$40)</f>
        <v>-533120</v>
      </c>
    </row>
    <row r="8" customFormat="false" ht="15" hidden="false" customHeight="false" outlineLevel="0" collapsed="false">
      <c r="B8" s="4" t="s">
        <v>7</v>
      </c>
      <c r="C8" s="4" t="s">
        <v>8</v>
      </c>
      <c r="D8" s="4" t="s">
        <v>9</v>
      </c>
      <c r="E8" s="4" t="s">
        <v>10</v>
      </c>
    </row>
    <row r="9" customFormat="false" ht="21.75" hidden="false" customHeight="true" outlineLevel="0" collapsed="false">
      <c r="B9" s="7" t="n">
        <f aca="false">IFERROR(SUM(公演データ!$X$3:$X$40)/SUM(公演データ!$R$3:$R$40),"")</f>
        <v>-0.332559822341992</v>
      </c>
      <c r="C9" s="5" t="n">
        <f aca="false">IFERROR(AVERAGE(公演データ!$J$3:$J$40),"")</f>
        <v>28.9459459459459</v>
      </c>
      <c r="D9" s="6" t="n">
        <f aca="false">IFERROR(SUM(公演データ!$R$3:$R$40)/SUM(公演データ!$J$3:$J$40),"")</f>
        <v>1496.80672268908</v>
      </c>
      <c r="E9" s="7" t="n">
        <f aca="false">IFERROR(AVERAGE(公演データ!$AA$3:$AA$40),"")</f>
        <v>0.497957955276504</v>
      </c>
    </row>
    <row r="12" customFormat="false" ht="15" hidden="false" customHeight="false" outlineLevel="0" collapsed="false">
      <c r="B12" s="3" t="s">
        <v>11</v>
      </c>
    </row>
    <row r="13" customFormat="false" ht="15" hidden="false" customHeight="false" outlineLevel="0" collapsed="false">
      <c r="B13" s="4" t="s">
        <v>12</v>
      </c>
      <c r="C13" s="4" t="s">
        <v>13</v>
      </c>
      <c r="D13" s="4" t="s">
        <v>14</v>
      </c>
      <c r="E13" s="4" t="s">
        <v>15</v>
      </c>
    </row>
    <row r="14" customFormat="false" ht="15" hidden="false" customHeight="false" outlineLevel="0" collapsed="false">
      <c r="B14" s="8" t="n">
        <f aca="false">IFERROR(SUM(公演データ!$R$29:$R$40),"")</f>
        <v>684500</v>
      </c>
      <c r="C14" s="8" t="n">
        <f aca="false">IFERROR(SUM(公演データ!$X$29:$X$40),"")</f>
        <v>94900</v>
      </c>
      <c r="D14" s="9" t="n">
        <f aca="false">IFERROR(AVERAGE(公演データ!$J$29:$J$40),"")</f>
        <v>37.3636363636364</v>
      </c>
      <c r="E14" s="10" t="n">
        <f aca="false">IFERROR(SUM(公演データ!$X$29:$X$40)/SUM(公演データ!$R$29:$R$40),"")</f>
        <v>0.138641344046749</v>
      </c>
    </row>
    <row r="17" customFormat="false" ht="15" hidden="false" customHeight="false" outlineLevel="0" collapsed="false">
      <c r="B17" s="3" t="s">
        <v>16</v>
      </c>
    </row>
    <row r="18" customFormat="false" ht="15" hidden="false" customHeight="false" outlineLevel="0" collapsed="false">
      <c r="B18" s="11" t="s">
        <v>17</v>
      </c>
      <c r="C18" s="11" t="s">
        <v>3</v>
      </c>
      <c r="D18" s="11" t="s">
        <v>18</v>
      </c>
      <c r="E18" s="11" t="s">
        <v>19</v>
      </c>
      <c r="F18" s="11" t="s">
        <v>20</v>
      </c>
      <c r="G18" s="11" t="s">
        <v>21</v>
      </c>
      <c r="H18" s="11" t="s">
        <v>22</v>
      </c>
    </row>
    <row r="19" customFormat="false" ht="15" hidden="false" customHeight="false" outlineLevel="0" collapsed="false">
      <c r="B19" s="12" t="s">
        <v>23</v>
      </c>
      <c r="C19" s="13" t="n">
        <f aca="false">COUNTIFS(公演データ!$C$3:$C$40,"&gt;="&amp;DATE(2022,7,1),公演データ!$C$3:$C$40,"&lt;="&amp;DATE(2023,6,30))</f>
        <v>1</v>
      </c>
      <c r="D19" s="13" t="n">
        <f aca="false">SUMIFS(公演データ!$J$3:$J$40,公演データ!$C$3:$C$40,"&gt;="&amp;DATE(2022,7,1),公演データ!$C$3:$C$40,"&lt;="&amp;DATE(2023,6,30))</f>
        <v>16</v>
      </c>
      <c r="E19" s="14" t="n">
        <f aca="false">SUMIFS(公演データ!$R$3:$R$40,公演データ!$C$3:$C$40,"&gt;="&amp;DATE(2022,7,1),公演データ!$C$3:$C$40,"&lt;="&amp;DATE(2023,6,30))</f>
        <v>19500</v>
      </c>
      <c r="F19" s="14" t="n">
        <f aca="false">SUMIFS(公演データ!$W$3:$W$40,公演データ!$C$3:$C$40,"&gt;="&amp;DATE(2022,7,1),公演データ!$C$3:$C$40,"&lt;="&amp;DATE(2023,6,30))</f>
        <v>17000</v>
      </c>
      <c r="G19" s="14" t="n">
        <f aca="false">SUMIFS(公演データ!$X$3:$X$40,公演データ!$C$3:$C$40,"&gt;="&amp;DATE(2022,7,1),公演データ!$C$3:$C$40,"&lt;="&amp;DATE(2023,6,30))</f>
        <v>2500</v>
      </c>
      <c r="H19" s="15" t="n">
        <f aca="false">IFERROR(G19/E19,"")</f>
        <v>0.128205128205128</v>
      </c>
    </row>
    <row r="20" customFormat="false" ht="15" hidden="false" customHeight="false" outlineLevel="0" collapsed="false">
      <c r="B20" s="12" t="s">
        <v>24</v>
      </c>
      <c r="C20" s="13" t="n">
        <f aca="false">COUNTIFS(公演データ!$C$3:$C$40,"&gt;="&amp;DATE(2023,7,1),公演データ!$C$3:$C$40,"&lt;="&amp;DATE(2024,6,30))</f>
        <v>11</v>
      </c>
      <c r="D20" s="13" t="n">
        <f aca="false">SUMIFS(公演データ!$J$3:$J$40,公演データ!$C$3:$C$40,"&gt;="&amp;DATE(2023,7,1),公演データ!$C$3:$C$40,"&lt;="&amp;DATE(2024,6,30))</f>
        <v>298</v>
      </c>
      <c r="E20" s="14" t="n">
        <f aca="false">SUMIFS(公演データ!$R$3:$R$40,公演データ!$C$3:$C$40,"&gt;="&amp;DATE(2023,7,1),公演データ!$C$3:$C$40,"&lt;="&amp;DATE(2024,6,30))</f>
        <v>402580</v>
      </c>
      <c r="F20" s="14" t="n">
        <f aca="false">SUMIFS(公演データ!$W$3:$W$40,公演データ!$C$3:$C$40,"&gt;="&amp;DATE(2023,7,1),公演データ!$C$3:$C$40,"&lt;="&amp;DATE(2024,6,30))</f>
        <v>709000</v>
      </c>
      <c r="G20" s="14" t="n">
        <f aca="false">SUMIFS(公演データ!$X$3:$X$40,公演データ!$C$3:$C$40,"&gt;="&amp;DATE(2023,7,1),公演データ!$C$3:$C$40,"&lt;="&amp;DATE(2024,6,30))</f>
        <v>-306420</v>
      </c>
      <c r="H20" s="15" t="n">
        <f aca="false">IFERROR(G20/E20,"")</f>
        <v>-0.761140642853594</v>
      </c>
    </row>
    <row r="21" customFormat="false" ht="15" hidden="false" customHeight="false" outlineLevel="0" collapsed="false">
      <c r="B21" s="12" t="s">
        <v>25</v>
      </c>
      <c r="C21" s="13" t="n">
        <f aca="false">COUNTIFS(公演データ!$C$3:$C$40,"&gt;="&amp;DATE(2024,7,1),公演データ!$C$3:$C$40,"&lt;="&amp;DATE(2025,6,30))</f>
        <v>12</v>
      </c>
      <c r="D21" s="13" t="n">
        <f aca="false">SUMIFS(公演データ!$J$3:$J$40,公演データ!$C$3:$C$40,"&gt;="&amp;DATE(2024,7,1),公演データ!$C$3:$C$40,"&lt;="&amp;DATE(2025,6,30))</f>
        <v>285</v>
      </c>
      <c r="E21" s="14" t="n">
        <f aca="false">SUMIFS(公演データ!$R$3:$R$40,公演データ!$C$3:$C$40,"&gt;="&amp;DATE(2024,7,1),公演データ!$C$3:$C$40,"&lt;="&amp;DATE(2025,6,30))</f>
        <v>414500</v>
      </c>
      <c r="F21" s="14" t="n">
        <f aca="false">SUMIFS(公演データ!$W$3:$W$40,公演データ!$C$3:$C$40,"&gt;="&amp;DATE(2024,7,1),公演データ!$C$3:$C$40,"&lt;="&amp;DATE(2025,6,30))</f>
        <v>717800</v>
      </c>
      <c r="G21" s="14" t="n">
        <f aca="false">SUMIFS(公演データ!$X$3:$X$40,公演データ!$C$3:$C$40,"&gt;="&amp;DATE(2024,7,1),公演データ!$C$3:$C$40,"&lt;="&amp;DATE(2025,6,30))</f>
        <v>-303300</v>
      </c>
      <c r="H21" s="15" t="n">
        <f aca="false">IFERROR(G21/E21,"")</f>
        <v>-0.731724969843185</v>
      </c>
    </row>
    <row r="22" customFormat="false" ht="15" hidden="false" customHeight="false" outlineLevel="0" collapsed="false">
      <c r="B22" s="12" t="s">
        <v>26</v>
      </c>
      <c r="C22" s="13" t="n">
        <f aca="false">COUNTIFS(公演データ!$C$3:$C$40,"&gt;="&amp;DATE(2025,7,1),公演データ!$C$3:$C$40,"&lt;="&amp;DATE(2026,6,30))</f>
        <v>12</v>
      </c>
      <c r="D22" s="13" t="n">
        <f aca="false">SUMIFS(公演データ!$J$3:$J$40,公演データ!$C$3:$C$40,"&gt;="&amp;DATE(2025,7,1),公演データ!$C$3:$C$40,"&lt;="&amp;DATE(2026,6,30))</f>
        <v>428</v>
      </c>
      <c r="E22" s="14" t="n">
        <f aca="false">SUMIFS(公演データ!$R$3:$R$40,公演データ!$C$3:$C$40,"&gt;="&amp;DATE(2025,7,1),公演データ!$C$3:$C$40,"&lt;="&amp;DATE(2026,6,30))</f>
        <v>700500</v>
      </c>
      <c r="F22" s="14" t="n">
        <f aca="false">SUMIFS(公演データ!$W$3:$W$40,公演データ!$C$3:$C$40,"&gt;="&amp;DATE(2025,7,1),公演データ!$C$3:$C$40,"&lt;="&amp;DATE(2026,6,30))</f>
        <v>639400</v>
      </c>
      <c r="G22" s="14" t="n">
        <f aca="false">SUMIFS(公演データ!$X$3:$X$40,公演データ!$C$3:$C$40,"&gt;="&amp;DATE(2025,7,1),公演データ!$C$3:$C$40,"&lt;="&amp;DATE(2026,6,30))</f>
        <v>61100</v>
      </c>
      <c r="H22" s="15" t="n">
        <f aca="false">IFERROR(G22/E22,"")</f>
        <v>0.0872234118486795</v>
      </c>
    </row>
    <row r="23" customFormat="false" ht="15" hidden="false" customHeight="false" outlineLevel="0" collapsed="false">
      <c r="B23" s="12" t="s">
        <v>27</v>
      </c>
      <c r="C23" s="13" t="n">
        <f aca="false">COUNTIFS(公演データ!$C$3:$C$40,"&gt;="&amp;DATE(2026,7,1),公演データ!$C$3:$C$40,"&lt;="&amp;DATE(2027,6,30))</f>
        <v>2</v>
      </c>
      <c r="D23" s="13" t="n">
        <f aca="false">SUMIFS(公演データ!$J$3:$J$40,公演データ!$C$3:$C$40,"&gt;="&amp;DATE(2026,7,1),公演データ!$C$3:$C$40,"&lt;="&amp;DATE(2027,6,30))</f>
        <v>44</v>
      </c>
      <c r="E23" s="14" t="n">
        <f aca="false">SUMIFS(公演データ!$R$3:$R$40,公演データ!$C$3:$C$40,"&gt;="&amp;DATE(2026,7,1),公演データ!$C$3:$C$40,"&lt;="&amp;DATE(2027,6,30))</f>
        <v>66000</v>
      </c>
      <c r="F23" s="14" t="n">
        <f aca="false">SUMIFS(公演データ!$W$3:$W$40,公演データ!$C$3:$C$40,"&gt;="&amp;DATE(2026,7,1),公演データ!$C$3:$C$40,"&lt;="&amp;DATE(2027,6,30))</f>
        <v>53000</v>
      </c>
      <c r="G23" s="14" t="n">
        <f aca="false">SUMIFS(公演データ!$X$3:$X$40,公演データ!$C$3:$C$40,"&gt;="&amp;DATE(2026,7,1),公演データ!$C$3:$C$40,"&lt;="&amp;DATE(2027,6,30))</f>
        <v>13000</v>
      </c>
      <c r="H23" s="15" t="n">
        <f aca="false">IFERROR(G23/E23,"")</f>
        <v>0.196969696969697</v>
      </c>
    </row>
    <row r="26" customFormat="false" ht="15" hidden="false" customHeight="false" outlineLevel="0" collapsed="false">
      <c r="B26" s="3" t="s">
        <v>28</v>
      </c>
    </row>
    <row r="27" customFormat="false" ht="15" hidden="false" customHeight="false" outlineLevel="0" collapsed="false">
      <c r="B27" s="11" t="s">
        <v>29</v>
      </c>
      <c r="C27" s="11" t="s">
        <v>3</v>
      </c>
      <c r="D27" s="11" t="s">
        <v>8</v>
      </c>
      <c r="E27" s="11" t="s">
        <v>30</v>
      </c>
      <c r="F27" s="11" t="s">
        <v>31</v>
      </c>
      <c r="G27" s="11" t="s">
        <v>10</v>
      </c>
    </row>
    <row r="28" customFormat="false" ht="15" hidden="false" customHeight="false" outlineLevel="0" collapsed="false">
      <c r="B28" s="16" t="s">
        <v>32</v>
      </c>
      <c r="C28" s="13" t="n">
        <f aca="false">COUNTIF(公演データ!$D$3:$D$40,"月")</f>
        <v>16</v>
      </c>
      <c r="D28" s="13" t="n">
        <f aca="false">IFERROR(AVERAGEIF(公演データ!$D$3:$D$40,"月",公演データ!$J$3:$J$40),"")</f>
        <v>30.2</v>
      </c>
      <c r="E28" s="14" t="n">
        <f aca="false">IFERROR(AVERAGEIF(公演データ!$D$3:$D$40,"月",公演データ!$R$3:$R$40),"")</f>
        <v>44478.3333333333</v>
      </c>
      <c r="F28" s="14" t="n">
        <f aca="false">IFERROR(AVERAGEIF(公演データ!$D$3:$D$40,"月",公演データ!$X$3:$X$40),"")</f>
        <v>-14348.3333333333</v>
      </c>
      <c r="G28" s="15" t="n">
        <f aca="false">IFERROR(AVERAGEIF(公演データ!$D$3:$D$40,"月",公演データ!$AA$3:$AA$40),"")</f>
        <v>0.547295285359802</v>
      </c>
    </row>
    <row r="29" customFormat="false" ht="15" hidden="false" customHeight="false" outlineLevel="0" collapsed="false">
      <c r="B29" s="16" t="s">
        <v>33</v>
      </c>
      <c r="C29" s="13" t="n">
        <f aca="false">COUNTIF(公演データ!$D$3:$D$40,"火")</f>
        <v>5</v>
      </c>
      <c r="D29" s="13" t="n">
        <f aca="false">IFERROR(AVERAGEIF(公演データ!$D$3:$D$40,"火",公演データ!$J$3:$J$40),"")</f>
        <v>35.4</v>
      </c>
      <c r="E29" s="14" t="n">
        <f aca="false">IFERROR(AVERAGEIF(公演データ!$D$3:$D$40,"火",公演データ!$R$3:$R$40),"")</f>
        <v>49800</v>
      </c>
      <c r="F29" s="14" t="n">
        <f aca="false">IFERROR(AVERAGEIF(公演データ!$D$3:$D$40,"火",公演データ!$X$3:$X$40),"")</f>
        <v>-7200</v>
      </c>
      <c r="G29" s="15" t="n">
        <f aca="false">IFERROR(AVERAGEIF(公演データ!$D$3:$D$40,"火",公演データ!$AA$3:$AA$40),"")</f>
        <v>0.584273504273504</v>
      </c>
    </row>
    <row r="30" customFormat="false" ht="15" hidden="false" customHeight="false" outlineLevel="0" collapsed="false">
      <c r="B30" s="16" t="s">
        <v>34</v>
      </c>
      <c r="C30" s="13" t="n">
        <f aca="false">COUNTIF(公演データ!$D$3:$D$40,"水")</f>
        <v>3</v>
      </c>
      <c r="D30" s="13" t="n">
        <f aca="false">IFERROR(AVERAGEIF(公演データ!$D$3:$D$40,"水",公演データ!$J$3:$J$40),"")</f>
        <v>13.6666666666667</v>
      </c>
      <c r="E30" s="14" t="n">
        <f aca="false">IFERROR(AVERAGEIF(公演データ!$D$3:$D$40,"水",公演データ!$R$3:$R$40),"")</f>
        <v>20000</v>
      </c>
      <c r="F30" s="14" t="n">
        <f aca="false">IFERROR(AVERAGEIF(公演データ!$D$3:$D$40,"水",公演データ!$X$3:$X$40),"")</f>
        <v>-45000</v>
      </c>
      <c r="G30" s="15" t="n">
        <f aca="false">IFERROR(AVERAGEIF(公演データ!$D$3:$D$40,"水",公演データ!$AA$3:$AA$40),"")</f>
        <v>0.266666666666667</v>
      </c>
    </row>
    <row r="31" customFormat="false" ht="15" hidden="false" customHeight="false" outlineLevel="0" collapsed="false">
      <c r="B31" s="16" t="s">
        <v>35</v>
      </c>
      <c r="C31" s="13" t="n">
        <f aca="false">COUNTIF(公演データ!$D$3:$D$40,"木")</f>
        <v>5</v>
      </c>
      <c r="D31" s="13" t="n">
        <f aca="false">IFERROR(AVERAGEIF(公演データ!$D$3:$D$40,"木",公演データ!$J$3:$J$40),"")</f>
        <v>20.4</v>
      </c>
      <c r="E31" s="14" t="n">
        <f aca="false">IFERROR(AVERAGEIF(公演データ!$D$3:$D$40,"木",公演データ!$R$3:$R$40),"")</f>
        <v>28581</v>
      </c>
      <c r="F31" s="14" t="n">
        <f aca="false">IFERROR(AVERAGEIF(公演データ!$D$3:$D$40,"木",公演データ!$X$3:$X$40),"")</f>
        <v>-31019</v>
      </c>
      <c r="G31" s="15" t="n">
        <f aca="false">IFERROR(AVERAGEIF(公演データ!$D$3:$D$40,"木",公演データ!$AA$3:$AA$40),"")</f>
        <v>0.41808547008547</v>
      </c>
    </row>
    <row r="32" customFormat="false" ht="15" hidden="false" customHeight="false" outlineLevel="0" collapsed="false">
      <c r="B32" s="16" t="s">
        <v>36</v>
      </c>
      <c r="C32" s="13" t="n">
        <f aca="false">COUNTIF(公演データ!$D$3:$D$40,"金")</f>
        <v>6</v>
      </c>
      <c r="D32" s="13" t="n">
        <f aca="false">IFERROR(AVERAGEIF(公演データ!$D$3:$D$40,"金",公演データ!$J$3:$J$40),"")</f>
        <v>25</v>
      </c>
      <c r="E32" s="14" t="n">
        <f aca="false">IFERROR(AVERAGEIF(公演データ!$D$3:$D$40,"金",公演データ!$R$3:$R$40),"")</f>
        <v>31333.3333333333</v>
      </c>
      <c r="F32" s="14" t="n">
        <f aca="false">IFERROR(AVERAGEIF(公演データ!$D$3:$D$40,"金",公演データ!$X$3:$X$40),"")</f>
        <v>-18133.3333333333</v>
      </c>
      <c r="G32" s="15" t="n">
        <f aca="false">IFERROR(AVERAGEIF(公演データ!$D$3:$D$40,"金",公演データ!$AA$3:$AA$40),"")</f>
        <v>0.436293706293706</v>
      </c>
    </row>
    <row r="33" customFormat="false" ht="15" hidden="false" customHeight="false" outlineLevel="0" collapsed="false">
      <c r="B33" s="16" t="s">
        <v>37</v>
      </c>
      <c r="C33" s="13" t="n">
        <f aca="false">COUNTIF(公演データ!$D$3:$D$40,"土")</f>
        <v>1</v>
      </c>
      <c r="D33" s="13" t="n">
        <f aca="false">IFERROR(AVERAGEIF(公演データ!$D$3:$D$40,"土",公演データ!$J$3:$J$40),"")</f>
        <v>14</v>
      </c>
      <c r="E33" s="14" t="n">
        <f aca="false">IFERROR(AVERAGEIF(公演データ!$D$3:$D$40,"土",公演データ!$R$3:$R$40),"")</f>
        <v>21000</v>
      </c>
      <c r="F33" s="14" t="n">
        <f aca="false">IFERROR(AVERAGEIF(公演データ!$D$3:$D$40,"土",公演データ!$X$3:$X$40),"")</f>
        <v>-40000</v>
      </c>
      <c r="G33" s="15" t="n">
        <f aca="false">IFERROR(AVERAGEIF(公演データ!$D$3:$D$40,"土",公演データ!$AA$3:$AA$40),"")</f>
        <v>0.35</v>
      </c>
    </row>
    <row r="34" customFormat="false" ht="15" hidden="false" customHeight="false" outlineLevel="0" collapsed="false">
      <c r="B34" s="16" t="s">
        <v>38</v>
      </c>
      <c r="C34" s="13" t="n">
        <f aca="false">COUNTIF(公演データ!$D$3:$D$40,"日")</f>
        <v>2</v>
      </c>
      <c r="D34" s="13" t="n">
        <f aca="false">IFERROR(AVERAGEIF(公演データ!$D$3:$D$40,"日",公演データ!$J$3:$J$40),"")</f>
        <v>67</v>
      </c>
      <c r="E34" s="14" t="n">
        <f aca="false">IFERROR(AVERAGEIF(公演データ!$D$3:$D$40,"日",公演データ!$R$3:$R$40),"")</f>
        <v>137500</v>
      </c>
      <c r="F34" s="14" t="n">
        <f aca="false">IFERROR(AVERAGEIF(公演データ!$D$3:$D$40,"日",公演データ!$X$3:$X$40),"")</f>
        <v>78500</v>
      </c>
      <c r="G34" s="15" t="n">
        <f aca="false">IFERROR(AVERAGEIF(公演データ!$D$3:$D$40,"日",公演データ!$AA$3:$AA$40),"")</f>
        <v>0.9375</v>
      </c>
    </row>
    <row r="37" customFormat="false" ht="15" hidden="false" customHeight="false" outlineLevel="0" collapsed="false">
      <c r="B37" s="3" t="s">
        <v>39</v>
      </c>
    </row>
    <row r="38" customFormat="false" ht="15" hidden="false" customHeight="false" outlineLevel="0" collapsed="false">
      <c r="B38" s="4" t="s">
        <v>40</v>
      </c>
      <c r="C38" s="4" t="s">
        <v>41</v>
      </c>
      <c r="D38" s="4" t="s">
        <v>42</v>
      </c>
      <c r="E38" s="4" t="s">
        <v>43</v>
      </c>
    </row>
    <row r="39" customFormat="false" ht="15" hidden="false" customHeight="false" outlineLevel="0" collapsed="false">
      <c r="B39" s="9" t="n">
        <f aca="false">COUNTIF(予約者ログ!$F$2:$F$600,"新規")+COUNTIF(予約者ログ!$F$2:$F$600,"リピート")</f>
        <v>0</v>
      </c>
      <c r="C39" s="9" t="n">
        <f aca="false">COUNTIF(予約者ログ!$F$2:$F$600,"新規")</f>
        <v>0</v>
      </c>
      <c r="D39" s="9" t="n">
        <f aca="false">COUNTIF(予約者ログ!$F$2:$F$600,"リピート")</f>
        <v>0</v>
      </c>
      <c r="E39" s="10" t="str">
        <f aca="false">IFERROR(COUNTIF(予約者ログ!$F$2:$F$600,"リピート")/(COUNTIF(予約者ログ!$F$2:$F$600,"新規")+COUNTIF(予約者ログ!$F$2:$F$600,"リピート")),"")</f>
        <v/>
      </c>
    </row>
    <row r="41" customFormat="false" ht="15" hidden="false" customHeight="false" outlineLevel="0" collapsed="false">
      <c r="B41" s="2" t="s">
        <v>44</v>
      </c>
    </row>
    <row r="42" customFormat="false" ht="15" hidden="false" customHeight="false" outlineLevel="0" collapsed="false">
      <c r="B42" s="2" t="s">
        <v>45</v>
      </c>
    </row>
    <row r="43" customFormat="false" ht="15" hidden="false" customHeight="false" outlineLevel="0" collapsed="false">
      <c r="B43" s="17" t="s">
        <v>46</v>
      </c>
    </row>
    <row r="81" customFormat="false" ht="15" hidden="false" customHeight="false" outlineLevel="0" collapsed="false">
      <c r="B81" s="3" t="s">
        <v>47</v>
      </c>
    </row>
    <row r="82" customFormat="false" ht="15" hidden="false" customHeight="false" outlineLevel="0" collapsed="false">
      <c r="B82" s="4" t="s">
        <v>48</v>
      </c>
      <c r="C82" s="4" t="s">
        <v>49</v>
      </c>
      <c r="D82" s="4" t="s">
        <v>50</v>
      </c>
      <c r="E82" s="4" t="s">
        <v>51</v>
      </c>
    </row>
    <row r="83" customFormat="false" ht="15" hidden="false" customHeight="false" outlineLevel="0" collapsed="false">
      <c r="B83" s="18" t="n">
        <f aca="false">IFERROR(CORREL(流入元!$B$2:$B$37,流入元!$H$2:$H$37),"")</f>
        <v>0.874554264023628</v>
      </c>
      <c r="C83" s="10" t="n">
        <f aca="false">IFERROR(SUM(流入元!$H$2:$H$37)/SUM(流入元!$B$2:$B$37),"")</f>
        <v>0.0481852012952491</v>
      </c>
      <c r="D83" s="19" t="n">
        <f aca="false">IFERROR(流入元!$M$1,"")</f>
        <v>0.0438583667758621</v>
      </c>
      <c r="E83" s="18" t="n">
        <f aca="false">IFERROR(流入元!$N$1,"")</f>
        <v>2.48684814001772</v>
      </c>
    </row>
    <row r="85" customFormat="false" ht="15" hidden="false" customHeight="false" outlineLevel="0" collapsed="false">
      <c r="B85" s="3" t="s">
        <v>52</v>
      </c>
    </row>
    <row r="86" customFormat="false" ht="15" hidden="false" customHeight="false" outlineLevel="0" collapsed="false">
      <c r="B86" s="20" t="s">
        <v>53</v>
      </c>
      <c r="C86" s="20" t="s">
        <v>54</v>
      </c>
      <c r="D86" s="4" t="s">
        <v>55</v>
      </c>
      <c r="E86" s="4" t="s">
        <v>56</v>
      </c>
    </row>
    <row r="87" customFormat="false" ht="15" hidden="false" customHeight="false" outlineLevel="0" collapsed="false">
      <c r="B87" s="21" t="n">
        <v>65</v>
      </c>
      <c r="C87" s="21" t="n">
        <v>900</v>
      </c>
      <c r="D87" s="9" t="n">
        <f aca="false">IFERROR(MIN(B87,ROUND(流入元!$M$1*C87+流入元!$N$1,0)),"")</f>
        <v>42</v>
      </c>
      <c r="E87" s="9" t="n">
        <f aca="false">IFERROR(ROUND((B87-流入元!$N$1)/流入元!$M$1,0),"")</f>
        <v>1425</v>
      </c>
    </row>
    <row r="89" customFormat="false" ht="15" hidden="false" customHeight="false" outlineLevel="0" collapsed="false">
      <c r="B89" s="2" t="s">
        <v>57</v>
      </c>
    </row>
    <row r="90" customFormat="false" ht="15" hidden="false" customHeight="false" outlineLevel="0" collapsed="false">
      <c r="B90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20"/>
  </cols>
  <sheetData>
    <row r="1" customFormat="false" ht="21.6" hidden="false" customHeight="false" outlineLevel="0" collapsed="false">
      <c r="B1" s="1" t="s">
        <v>59</v>
      </c>
    </row>
    <row r="2" customFormat="false" ht="15" hidden="false" customHeight="false" outlineLevel="0" collapsed="false">
      <c r="B2" s="2" t="s">
        <v>60</v>
      </c>
    </row>
    <row r="4" customFormat="false" ht="15" hidden="false" customHeight="false" outlineLevel="0" collapsed="false">
      <c r="B4" s="3" t="s">
        <v>61</v>
      </c>
    </row>
    <row r="5" customFormat="false" ht="15" hidden="false" customHeight="false" outlineLevel="0" collapsed="false">
      <c r="B5" s="22" t="s">
        <v>62</v>
      </c>
      <c r="C5" s="22" t="s">
        <v>63</v>
      </c>
      <c r="D5" s="22" t="s">
        <v>64</v>
      </c>
    </row>
    <row r="6" customFormat="false" ht="15" hidden="false" customHeight="false" outlineLevel="0" collapsed="false">
      <c r="B6" s="16" t="s">
        <v>65</v>
      </c>
      <c r="C6" s="23" t="n">
        <v>0</v>
      </c>
      <c r="D6" s="24" t="s">
        <v>66</v>
      </c>
    </row>
    <row r="7" customFormat="false" ht="15" hidden="false" customHeight="false" outlineLevel="0" collapsed="false">
      <c r="B7" s="16" t="s">
        <v>67</v>
      </c>
      <c r="C7" s="23" t="n">
        <v>0.3</v>
      </c>
      <c r="D7" s="2" t="s">
        <v>68</v>
      </c>
    </row>
    <row r="8" customFormat="false" ht="15" hidden="false" customHeight="false" outlineLevel="0" collapsed="false">
      <c r="B8" s="16" t="s">
        <v>69</v>
      </c>
      <c r="C8" s="25" t="n">
        <v>0</v>
      </c>
      <c r="D8" s="2" t="s">
        <v>70</v>
      </c>
    </row>
    <row r="9" customFormat="false" ht="15" hidden="false" customHeight="false" outlineLevel="0" collapsed="false">
      <c r="B9" s="16" t="s">
        <v>71</v>
      </c>
      <c r="C9" s="25" t="n">
        <v>4000</v>
      </c>
      <c r="D9" s="2" t="s">
        <v>72</v>
      </c>
    </row>
    <row r="10" customFormat="false" ht="15" hidden="false" customHeight="false" outlineLevel="0" collapsed="false">
      <c r="B10" s="16" t="s">
        <v>73</v>
      </c>
      <c r="C10" s="25" t="n">
        <v>4000</v>
      </c>
      <c r="D10" s="2" t="s">
        <v>74</v>
      </c>
    </row>
    <row r="12" customFormat="false" ht="15" hidden="false" customHeight="false" outlineLevel="0" collapsed="false">
      <c r="B12" s="3" t="s">
        <v>75</v>
      </c>
    </row>
    <row r="13" customFormat="false" ht="15" hidden="false" customHeight="false" outlineLevel="0" collapsed="false">
      <c r="B13" s="26" t="s">
        <v>76</v>
      </c>
      <c r="C13" s="2" t="s">
        <v>77</v>
      </c>
    </row>
    <row r="14" customFormat="false" ht="15" hidden="false" customHeight="false" outlineLevel="0" collapsed="false">
      <c r="B14" s="16" t="s">
        <v>78</v>
      </c>
      <c r="C14" s="2" t="s">
        <v>79</v>
      </c>
    </row>
    <row r="15" customFormat="false" ht="15" hidden="false" customHeight="false" outlineLevel="0" collapsed="false">
      <c r="B15" s="27" t="s">
        <v>80</v>
      </c>
      <c r="C15" s="2" t="s">
        <v>81</v>
      </c>
    </row>
    <row r="17" customFormat="false" ht="15" hidden="false" customHeight="false" outlineLevel="0" collapsed="false">
      <c r="B17" s="3" t="s">
        <v>82</v>
      </c>
    </row>
    <row r="18" customFormat="false" ht="15" hidden="false" customHeight="false" outlineLevel="0" collapsed="false">
      <c r="B18" s="28" t="s">
        <v>83</v>
      </c>
    </row>
    <row r="19" customFormat="false" ht="15" hidden="false" customHeight="false" outlineLevel="0" collapsed="false">
      <c r="B19" s="28" t="s">
        <v>84</v>
      </c>
    </row>
    <row r="20" customFormat="false" ht="15" hidden="false" customHeight="false" outlineLevel="0" collapsed="false">
      <c r="B20" s="28" t="s">
        <v>85</v>
      </c>
    </row>
    <row r="21" customFormat="false" ht="15" hidden="false" customHeight="false" outlineLevel="0" collapsed="false">
      <c r="B21" s="28" t="s">
        <v>86</v>
      </c>
    </row>
    <row r="23" customFormat="false" ht="15" hidden="false" customHeight="false" outlineLevel="0" collapsed="false">
      <c r="B23" s="3" t="s">
        <v>87</v>
      </c>
    </row>
    <row r="24" customFormat="false" ht="15" hidden="false" customHeight="false" outlineLevel="0" collapsed="false">
      <c r="B24" s="29" t="s">
        <v>88</v>
      </c>
      <c r="C24" s="29" t="s">
        <v>89</v>
      </c>
      <c r="D24" s="29" t="s">
        <v>18</v>
      </c>
      <c r="E24" s="29" t="s">
        <v>90</v>
      </c>
      <c r="F24" s="29" t="s">
        <v>91</v>
      </c>
      <c r="G24" s="29" t="s">
        <v>92</v>
      </c>
      <c r="H24" s="29" t="s">
        <v>93</v>
      </c>
    </row>
    <row r="25" customFormat="false" ht="15" hidden="false" customHeight="false" outlineLevel="0" collapsed="false">
      <c r="B25" s="25" t="n">
        <v>1500</v>
      </c>
      <c r="C25" s="21" t="n">
        <v>65</v>
      </c>
      <c r="D25" s="21" t="n">
        <v>44</v>
      </c>
      <c r="E25" s="21" t="n">
        <v>41</v>
      </c>
      <c r="F25" s="25" t="n">
        <v>24000</v>
      </c>
      <c r="G25" s="25" t="n">
        <v>45000</v>
      </c>
      <c r="H25" s="25" t="n">
        <v>30000</v>
      </c>
    </row>
    <row r="26" customFormat="false" ht="15" hidden="false" customHeight="false" outlineLevel="0" collapsed="false">
      <c r="B26" s="2" t="s">
        <v>94</v>
      </c>
    </row>
    <row r="28" customFormat="false" ht="15" hidden="false" customHeight="false" outlineLevel="0" collapsed="false">
      <c r="B28" s="3" t="s">
        <v>95</v>
      </c>
    </row>
    <row r="29" customFormat="false" ht="15" hidden="false" customHeight="false" outlineLevel="0" collapsed="false">
      <c r="B29" s="2" t="s">
        <v>96</v>
      </c>
    </row>
    <row r="30" customFormat="false" ht="15" hidden="false" customHeight="false" outlineLevel="0" collapsed="false">
      <c r="B30" s="3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1" t="s">
        <v>98</v>
      </c>
      <c r="B1" s="11" t="s">
        <v>99</v>
      </c>
      <c r="C1" s="11" t="s">
        <v>100</v>
      </c>
      <c r="D1" s="11" t="s">
        <v>101</v>
      </c>
    </row>
    <row r="2" customFormat="false" ht="15" hidden="false" customHeight="false" outlineLevel="0" collapsed="false">
      <c r="A2" s="26" t="s">
        <v>102</v>
      </c>
      <c r="B2" s="21"/>
      <c r="C2" s="25" t="n">
        <v>45000</v>
      </c>
      <c r="D2" s="31" t="s">
        <v>103</v>
      </c>
    </row>
    <row r="3" customFormat="false" ht="15" hidden="false" customHeight="false" outlineLevel="0" collapsed="false">
      <c r="A3" s="26" t="s">
        <v>104</v>
      </c>
      <c r="B3" s="21"/>
      <c r="C3" s="25" t="n">
        <v>30000</v>
      </c>
      <c r="D3" s="31" t="s">
        <v>105</v>
      </c>
    </row>
    <row r="4" customFormat="false" ht="15" hidden="false" customHeight="false" outlineLevel="0" collapsed="false">
      <c r="A4" s="26" t="s">
        <v>106</v>
      </c>
      <c r="B4" s="21"/>
      <c r="C4" s="25" t="n">
        <v>0</v>
      </c>
      <c r="D4" s="32" t="s">
        <v>107</v>
      </c>
    </row>
    <row r="5" customFormat="false" ht="15" hidden="false" customHeight="false" outlineLevel="0" collapsed="false">
      <c r="A5" s="26"/>
      <c r="B5" s="21"/>
      <c r="C5" s="25"/>
      <c r="D5" s="31"/>
    </row>
    <row r="6" customFormat="false" ht="15" hidden="false" customHeight="false" outlineLevel="0" collapsed="false">
      <c r="A6" s="26"/>
      <c r="B6" s="21"/>
      <c r="C6" s="25"/>
      <c r="D6" s="31"/>
    </row>
    <row r="7" customFormat="false" ht="15" hidden="false" customHeight="false" outlineLevel="0" collapsed="false">
      <c r="A7" s="26"/>
      <c r="B7" s="21"/>
      <c r="C7" s="25"/>
      <c r="D7" s="31"/>
    </row>
    <row r="8" customFormat="false" ht="15" hidden="false" customHeight="false" outlineLevel="0" collapsed="false">
      <c r="A8" s="26"/>
      <c r="B8" s="21"/>
      <c r="C8" s="25"/>
      <c r="D8" s="31"/>
    </row>
    <row r="9" customFormat="false" ht="15" hidden="false" customHeight="false" outlineLevel="0" collapsed="false">
      <c r="A9" s="26"/>
      <c r="B9" s="21"/>
      <c r="C9" s="25"/>
      <c r="D9" s="31"/>
    </row>
    <row r="10" customFormat="false" ht="15" hidden="false" customHeight="false" outlineLevel="0" collapsed="false">
      <c r="A10" s="26"/>
      <c r="B10" s="21"/>
      <c r="C10" s="25"/>
      <c r="D10" s="31"/>
    </row>
    <row r="11" customFormat="false" ht="15" hidden="false" customHeight="false" outlineLevel="0" collapsed="false">
      <c r="A11" s="26"/>
      <c r="B11" s="21"/>
      <c r="C11" s="25"/>
      <c r="D11" s="31"/>
    </row>
    <row r="12" customFormat="false" ht="15" hidden="false" customHeight="false" outlineLevel="0" collapsed="false">
      <c r="A12" s="26"/>
      <c r="B12" s="21"/>
      <c r="C12" s="25"/>
      <c r="D12" s="31"/>
    </row>
    <row r="14" customFormat="false" ht="15" hidden="false" customHeight="false" outlineLevel="0" collapsed="false">
      <c r="A14" s="2" t="s">
        <v>108</v>
      </c>
    </row>
    <row r="15" customFormat="false" ht="15" hidden="false" customHeight="false" outlineLevel="0" collapsed="false">
      <c r="A15" s="1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7" min="14" style="0" width="11"/>
    <col collapsed="false" customWidth="true" hidden="false" outlineLevel="0" max="18" min="18" style="0" width="13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4" min="23" style="0" width="13"/>
    <col collapsed="false" customWidth="true" hidden="false" outlineLevel="0" max="25" min="25" style="0" width="9"/>
    <col collapsed="false" customWidth="true" hidden="false" outlineLevel="0" max="26" min="26" style="0" width="11"/>
    <col collapsed="false" customWidth="true" hidden="false" outlineLevel="0" max="27" min="27" style="0" width="9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0" min="30" style="0" width="22"/>
    <col collapsed="false" customWidth="true" hidden="false" outlineLevel="0" max="34" min="31" style="0" width="2"/>
    <col collapsed="false" customWidth="true" hidden="false" outlineLevel="0" max="35" min="35" style="0" width="11"/>
  </cols>
  <sheetData>
    <row r="1" customFormat="false" ht="15" hidden="false" customHeight="false" outlineLevel="0" collapsed="false">
      <c r="A1" s="33" t="s">
        <v>110</v>
      </c>
      <c r="B1" s="33"/>
      <c r="C1" s="33"/>
      <c r="D1" s="33"/>
      <c r="E1" s="33"/>
      <c r="F1" s="33"/>
      <c r="G1" s="33"/>
      <c r="H1" s="33"/>
      <c r="I1" s="33" t="s">
        <v>111</v>
      </c>
      <c r="J1" s="33"/>
      <c r="K1" s="33"/>
      <c r="L1" s="33" t="s">
        <v>112</v>
      </c>
      <c r="M1" s="33"/>
      <c r="N1" s="33"/>
      <c r="O1" s="33"/>
      <c r="P1" s="33"/>
      <c r="Q1" s="33"/>
      <c r="R1" s="33"/>
      <c r="S1" s="33" t="s">
        <v>113</v>
      </c>
      <c r="T1" s="33"/>
      <c r="U1" s="33"/>
      <c r="V1" s="33"/>
      <c r="W1" s="33"/>
      <c r="X1" s="33" t="s">
        <v>114</v>
      </c>
      <c r="Y1" s="33"/>
      <c r="Z1" s="33"/>
      <c r="AA1" s="33"/>
      <c r="AB1" s="33"/>
      <c r="AC1" s="33"/>
    </row>
    <row r="2" customFormat="false" ht="31.5" hidden="false" customHeight="true" outlineLevel="0" collapsed="false">
      <c r="A2" s="34" t="s">
        <v>115</v>
      </c>
      <c r="B2" s="34" t="s">
        <v>116</v>
      </c>
      <c r="C2" s="34" t="s">
        <v>117</v>
      </c>
      <c r="D2" s="34" t="s">
        <v>29</v>
      </c>
      <c r="E2" s="34" t="s">
        <v>118</v>
      </c>
      <c r="F2" s="34" t="s">
        <v>119</v>
      </c>
      <c r="G2" s="34" t="s">
        <v>120</v>
      </c>
      <c r="H2" s="34" t="s">
        <v>121</v>
      </c>
      <c r="I2" s="34" t="s">
        <v>88</v>
      </c>
      <c r="J2" s="34" t="s">
        <v>122</v>
      </c>
      <c r="K2" s="34" t="s">
        <v>90</v>
      </c>
      <c r="L2" s="34" t="s">
        <v>123</v>
      </c>
      <c r="M2" s="34" t="s">
        <v>124</v>
      </c>
      <c r="N2" s="34" t="s">
        <v>91</v>
      </c>
      <c r="O2" s="34" t="s">
        <v>125</v>
      </c>
      <c r="P2" s="34" t="s">
        <v>126</v>
      </c>
      <c r="Q2" s="34" t="s">
        <v>127</v>
      </c>
      <c r="R2" s="34" t="s">
        <v>128</v>
      </c>
      <c r="S2" s="34" t="s">
        <v>92</v>
      </c>
      <c r="T2" s="34" t="s">
        <v>93</v>
      </c>
      <c r="U2" s="34" t="s">
        <v>129</v>
      </c>
      <c r="V2" s="34" t="s">
        <v>130</v>
      </c>
      <c r="W2" s="34" t="s">
        <v>131</v>
      </c>
      <c r="X2" s="34" t="s">
        <v>21</v>
      </c>
      <c r="Y2" s="34" t="s">
        <v>22</v>
      </c>
      <c r="Z2" s="34" t="s">
        <v>132</v>
      </c>
      <c r="AA2" s="34" t="s">
        <v>133</v>
      </c>
      <c r="AB2" s="34" t="s">
        <v>134</v>
      </c>
      <c r="AC2" s="34" t="s">
        <v>135</v>
      </c>
      <c r="AD2" s="34" t="s">
        <v>136</v>
      </c>
      <c r="AE2" s="34"/>
      <c r="AF2" s="34"/>
      <c r="AG2" s="34"/>
      <c r="AH2" s="34"/>
      <c r="AI2" s="34" t="s">
        <v>137</v>
      </c>
    </row>
    <row r="3" customFormat="false" ht="15" hidden="false" customHeight="false" outlineLevel="0" collapsed="false">
      <c r="A3" s="12" t="s">
        <v>138</v>
      </c>
      <c r="B3" s="12" t="s">
        <v>139</v>
      </c>
      <c r="C3" s="35" t="n">
        <v>45079</v>
      </c>
      <c r="D3" s="16" t="s">
        <v>36</v>
      </c>
      <c r="E3" s="26" t="s">
        <v>106</v>
      </c>
      <c r="F3" s="21" t="n">
        <v>110</v>
      </c>
      <c r="G3" s="16" t="s">
        <v>140</v>
      </c>
      <c r="H3" s="13" t="n">
        <f aca="false">IF(G3="","",LEN(G3)-LEN(SUBSTITUTE(G3,"／",""))+1)</f>
        <v>7</v>
      </c>
      <c r="I3" s="25" t="n">
        <v>1500</v>
      </c>
      <c r="J3" s="21" t="n">
        <v>16</v>
      </c>
      <c r="K3" s="21"/>
      <c r="L3" s="25" t="n">
        <v>19500</v>
      </c>
      <c r="M3" s="25"/>
      <c r="N3" s="25"/>
      <c r="O3" s="25"/>
      <c r="P3" s="25"/>
      <c r="Q3" s="25"/>
      <c r="R3" s="14" t="n">
        <f aca="false">IF(COUNT(L3:Q3)=0,"",SUM(L3:Q3))</f>
        <v>19500</v>
      </c>
      <c r="S3" s="25" t="n">
        <v>0</v>
      </c>
      <c r="T3" s="25" t="n">
        <v>12000</v>
      </c>
      <c r="U3" s="25" t="n">
        <v>5000</v>
      </c>
      <c r="V3" s="36" t="n">
        <f aca="false">IF(L3="","",ROUND(L3*ガイド!$C$6,0))</f>
        <v>0</v>
      </c>
      <c r="W3" s="14" t="n">
        <f aca="false">IF(COUNT(S3:V3)=0,"",SUM(S3:V3))</f>
        <v>17000</v>
      </c>
      <c r="X3" s="14" t="n">
        <f aca="false">IF(AND(R3="",W3=""),"",SUM(R3)-SUM(W3))</f>
        <v>2500</v>
      </c>
      <c r="Y3" s="15" t="n">
        <f aca="false">IFERROR(X3/R3,"")</f>
        <v>0.128205128205128</v>
      </c>
      <c r="Z3" s="14" t="n">
        <f aca="false">IFERROR(R3/J3,"")</f>
        <v>1218.75</v>
      </c>
      <c r="AA3" s="15" t="n">
        <f aca="false">IF(OR(J3="",F3=""),"",IFERROR(J3/F3,""))</f>
        <v>0.145454545454545</v>
      </c>
      <c r="AB3" s="15" t="n">
        <f aca="false">IFERROR((J3-K3)/J3,"")</f>
        <v>1</v>
      </c>
      <c r="AC3" s="13" t="n">
        <f aca="false">IFERROR(ROUNDUP(W3/I3,0),"")</f>
        <v>12</v>
      </c>
      <c r="AD3" s="37" t="s">
        <v>141</v>
      </c>
      <c r="AI3" s="21" t="n">
        <v>5</v>
      </c>
    </row>
    <row r="4" customFormat="false" ht="15" hidden="false" customHeight="false" outlineLevel="0" collapsed="false">
      <c r="A4" s="12" t="s">
        <v>142</v>
      </c>
      <c r="B4" s="12" t="s">
        <v>143</v>
      </c>
      <c r="C4" s="35" t="n">
        <v>45133</v>
      </c>
      <c r="D4" s="16" t="s">
        <v>34</v>
      </c>
      <c r="E4" s="26" t="s">
        <v>102</v>
      </c>
      <c r="F4" s="21" t="n">
        <v>60</v>
      </c>
      <c r="G4" s="16" t="s">
        <v>144</v>
      </c>
      <c r="H4" s="13" t="n">
        <f aca="false">IF(G4="","",LEN(G4)-LEN(SUBSTITUTE(G4,"／",""))+1)</f>
        <v>6</v>
      </c>
      <c r="I4" s="25" t="n">
        <v>1500</v>
      </c>
      <c r="J4" s="21" t="n">
        <v>13</v>
      </c>
      <c r="K4" s="21"/>
      <c r="L4" s="25" t="n">
        <v>18000</v>
      </c>
      <c r="M4" s="25"/>
      <c r="N4" s="25"/>
      <c r="O4" s="25"/>
      <c r="P4" s="25"/>
      <c r="Q4" s="25"/>
      <c r="R4" s="14" t="n">
        <f aca="false">IF(COUNT(L4:Q4)=0,"",SUM(L4:Q4))</f>
        <v>18000</v>
      </c>
      <c r="S4" s="25" t="n">
        <v>43000</v>
      </c>
      <c r="T4" s="25" t="n">
        <v>12000</v>
      </c>
      <c r="U4" s="25" t="n">
        <v>10000</v>
      </c>
      <c r="V4" s="36" t="n">
        <f aca="false">IF(L4="","",ROUND(L4*ガイド!$C$6,0))</f>
        <v>0</v>
      </c>
      <c r="W4" s="14" t="n">
        <f aca="false">IF(COUNT(S4:V4)=0,"",SUM(S4:V4))</f>
        <v>65000</v>
      </c>
      <c r="X4" s="14" t="n">
        <f aca="false">IF(AND(R4="",W4=""),"",SUM(R4)-SUM(W4))</f>
        <v>-47000</v>
      </c>
      <c r="Y4" s="15" t="n">
        <f aca="false">IFERROR(X4/R4,"")</f>
        <v>-2.61111111111111</v>
      </c>
      <c r="Z4" s="14" t="n">
        <f aca="false">IFERROR(R4/J4,"")</f>
        <v>1384.61538461538</v>
      </c>
      <c r="AA4" s="15" t="n">
        <f aca="false">IF(OR(J4="",F4=""),"",IFERROR(J4/F4,""))</f>
        <v>0.216666666666667</v>
      </c>
      <c r="AB4" s="15" t="n">
        <f aca="false">IFERROR((J4-K4)/J4,"")</f>
        <v>1</v>
      </c>
      <c r="AC4" s="13" t="n">
        <f aca="false">IFERROR(ROUNDUP(W4/I4,0),"")</f>
        <v>44</v>
      </c>
      <c r="AD4" s="37" t="s">
        <v>141</v>
      </c>
      <c r="AI4" s="21" t="n">
        <v>4</v>
      </c>
    </row>
    <row r="5" customFormat="false" ht="15" hidden="false" customHeight="false" outlineLevel="0" collapsed="false">
      <c r="A5" s="12" t="s">
        <v>145</v>
      </c>
      <c r="B5" s="12" t="s">
        <v>146</v>
      </c>
      <c r="C5" s="35" t="n">
        <v>45159</v>
      </c>
      <c r="D5" s="16" t="s">
        <v>32</v>
      </c>
      <c r="E5" s="26" t="s">
        <v>102</v>
      </c>
      <c r="F5" s="21" t="n">
        <v>60</v>
      </c>
      <c r="G5" s="16" t="s">
        <v>147</v>
      </c>
      <c r="H5" s="13" t="n">
        <f aca="false">IF(G5="","",LEN(G5)-LEN(SUBSTITUTE(G5,"／",""))+1)</f>
        <v>7</v>
      </c>
      <c r="I5" s="25" t="n">
        <v>1500</v>
      </c>
      <c r="J5" s="21" t="n">
        <v>30</v>
      </c>
      <c r="K5" s="21"/>
      <c r="L5" s="14" t="n">
        <f aca="false">IF(OR(I5="",J5=""),"",I5*J5)</f>
        <v>45000</v>
      </c>
      <c r="M5" s="25" t="n">
        <v>3175</v>
      </c>
      <c r="N5" s="25"/>
      <c r="O5" s="25"/>
      <c r="P5" s="25"/>
      <c r="Q5" s="25"/>
      <c r="R5" s="14" t="n">
        <f aca="false">IF(COUNT(L5:Q5)=0,"",SUM(L5:Q5))</f>
        <v>48175</v>
      </c>
      <c r="S5" s="25" t="n">
        <v>43000</v>
      </c>
      <c r="T5" s="25" t="n">
        <v>20000</v>
      </c>
      <c r="U5" s="25" t="n">
        <v>9000</v>
      </c>
      <c r="V5" s="36" t="n">
        <f aca="false">IF(L5="","",ROUND(L5*ガイド!$C$6,0))</f>
        <v>0</v>
      </c>
      <c r="W5" s="14" t="n">
        <f aca="false">IF(COUNT(S5:V5)=0,"",SUM(S5:V5))</f>
        <v>72000</v>
      </c>
      <c r="X5" s="14" t="n">
        <f aca="false">IF(AND(R5="",W5=""),"",SUM(R5)-SUM(W5))</f>
        <v>-23825</v>
      </c>
      <c r="Y5" s="15" t="n">
        <f aca="false">IFERROR(X5/R5,"")</f>
        <v>-0.494551115723923</v>
      </c>
      <c r="Z5" s="14" t="n">
        <f aca="false">IFERROR(R5/J5,"")</f>
        <v>1605.83333333333</v>
      </c>
      <c r="AA5" s="15" t="n">
        <f aca="false">IF(OR(J5="",F5=""),"",IFERROR(J5/F5,""))</f>
        <v>0.5</v>
      </c>
      <c r="AB5" s="15" t="n">
        <f aca="false">IFERROR((J5-K5)/J5,"")</f>
        <v>1</v>
      </c>
      <c r="AC5" s="13" t="n">
        <f aca="false">IFERROR(ROUNDUP(W5/I5,0),"")</f>
        <v>48</v>
      </c>
      <c r="AD5" s="37" t="s">
        <v>141</v>
      </c>
      <c r="AI5" s="21" t="n">
        <v>5</v>
      </c>
    </row>
    <row r="6" customFormat="false" ht="15" hidden="false" customHeight="false" outlineLevel="0" collapsed="false">
      <c r="A6" s="12" t="s">
        <v>148</v>
      </c>
      <c r="B6" s="12" t="s">
        <v>149</v>
      </c>
      <c r="C6" s="35" t="n">
        <v>45190</v>
      </c>
      <c r="D6" s="16" t="s">
        <v>35</v>
      </c>
      <c r="E6" s="26" t="s">
        <v>104</v>
      </c>
      <c r="F6" s="21" t="n">
        <v>30</v>
      </c>
      <c r="G6" s="16" t="s">
        <v>150</v>
      </c>
      <c r="H6" s="13" t="n">
        <f aca="false">IF(G6="","",LEN(G6)-LEN(SUBSTITUTE(G6,"／",""))+1)</f>
        <v>7</v>
      </c>
      <c r="I6" s="25" t="n">
        <v>1500</v>
      </c>
      <c r="J6" s="21" t="n">
        <v>16</v>
      </c>
      <c r="K6" s="21"/>
      <c r="L6" s="25" t="n">
        <v>22500</v>
      </c>
      <c r="M6" s="25" t="n">
        <v>1905</v>
      </c>
      <c r="N6" s="25"/>
      <c r="O6" s="25"/>
      <c r="P6" s="25"/>
      <c r="Q6" s="25"/>
      <c r="R6" s="14" t="n">
        <f aca="false">IF(COUNT(L6:Q6)=0,"",SUM(L6:Q6))</f>
        <v>24405</v>
      </c>
      <c r="S6" s="25" t="n">
        <v>35000</v>
      </c>
      <c r="T6" s="25" t="n">
        <v>14000</v>
      </c>
      <c r="U6" s="25" t="n">
        <v>9000</v>
      </c>
      <c r="V6" s="36" t="n">
        <f aca="false">IF(L6="","",ROUND(L6*ガイド!$C$6,0))</f>
        <v>0</v>
      </c>
      <c r="W6" s="14" t="n">
        <f aca="false">IF(COUNT(S6:V6)=0,"",SUM(S6:V6))</f>
        <v>58000</v>
      </c>
      <c r="X6" s="14" t="n">
        <f aca="false">IF(AND(R6="",W6=""),"",SUM(R6)-SUM(W6))</f>
        <v>-33595</v>
      </c>
      <c r="Y6" s="15" t="n">
        <f aca="false">IFERROR(X6/R6,"")</f>
        <v>-1.37656217988117</v>
      </c>
      <c r="Z6" s="14" t="n">
        <f aca="false">IFERROR(R6/J6,"")</f>
        <v>1525.3125</v>
      </c>
      <c r="AA6" s="15" t="n">
        <f aca="false">IF(OR(J6="",F6=""),"",IFERROR(J6/F6,""))</f>
        <v>0.533333333333333</v>
      </c>
      <c r="AB6" s="15" t="n">
        <f aca="false">IFERROR((J6-K6)/J6,"")</f>
        <v>1</v>
      </c>
      <c r="AC6" s="13" t="n">
        <f aca="false">IFERROR(ROUNDUP(W6/I6,0),"")</f>
        <v>39</v>
      </c>
      <c r="AD6" s="37" t="s">
        <v>141</v>
      </c>
      <c r="AI6" s="21" t="n">
        <v>5</v>
      </c>
    </row>
    <row r="7" customFormat="false" ht="15" hidden="false" customHeight="false" outlineLevel="0" collapsed="false">
      <c r="A7" s="12" t="s">
        <v>151</v>
      </c>
      <c r="B7" s="12" t="s">
        <v>152</v>
      </c>
      <c r="C7" s="35" t="n">
        <v>45229</v>
      </c>
      <c r="D7" s="16" t="s">
        <v>32</v>
      </c>
      <c r="E7" s="26" t="s">
        <v>102</v>
      </c>
      <c r="F7" s="21" t="n">
        <v>50</v>
      </c>
      <c r="G7" s="16" t="s">
        <v>153</v>
      </c>
      <c r="H7" s="13" t="n">
        <f aca="false">IF(G7="","",LEN(G7)-LEN(SUBSTITUTE(G7,"／",""))+1)</f>
        <v>7</v>
      </c>
      <c r="I7" s="25" t="n">
        <v>1500</v>
      </c>
      <c r="J7" s="21" t="n">
        <v>25</v>
      </c>
      <c r="K7" s="21"/>
      <c r="L7" s="25" t="n">
        <v>37500</v>
      </c>
      <c r="M7" s="25"/>
      <c r="N7" s="25"/>
      <c r="O7" s="25"/>
      <c r="P7" s="25"/>
      <c r="Q7" s="25"/>
      <c r="R7" s="14" t="n">
        <f aca="false">IF(COUNT(L7:Q7)=0,"",SUM(L7:Q7))</f>
        <v>37500</v>
      </c>
      <c r="S7" s="25" t="n">
        <v>43000</v>
      </c>
      <c r="T7" s="25" t="n">
        <v>18000</v>
      </c>
      <c r="U7" s="25" t="n">
        <v>9000</v>
      </c>
      <c r="V7" s="36" t="n">
        <f aca="false">IF(L7="","",ROUND(L7*ガイド!$C$6,0))</f>
        <v>0</v>
      </c>
      <c r="W7" s="14" t="n">
        <f aca="false">IF(COUNT(S7:V7)=0,"",SUM(S7:V7))</f>
        <v>70000</v>
      </c>
      <c r="X7" s="14" t="n">
        <f aca="false">IF(AND(R7="",W7=""),"",SUM(R7)-SUM(W7))</f>
        <v>-32500</v>
      </c>
      <c r="Y7" s="15" t="n">
        <f aca="false">IFERROR(X7/R7,"")</f>
        <v>-0.866666666666667</v>
      </c>
      <c r="Z7" s="14" t="n">
        <f aca="false">IFERROR(R7/J7,"")</f>
        <v>1500</v>
      </c>
      <c r="AA7" s="15" t="n">
        <f aca="false">IF(OR(J7="",F7=""),"",IFERROR(J7/F7,""))</f>
        <v>0.5</v>
      </c>
      <c r="AB7" s="15" t="n">
        <f aca="false">IFERROR((J7-K7)/J7,"")</f>
        <v>1</v>
      </c>
      <c r="AC7" s="13" t="n">
        <f aca="false">IFERROR(ROUNDUP(W7/I7,0),"")</f>
        <v>47</v>
      </c>
      <c r="AD7" s="37" t="s">
        <v>141</v>
      </c>
      <c r="AI7" s="21" t="n">
        <v>5</v>
      </c>
    </row>
    <row r="8" customFormat="false" ht="15" hidden="false" customHeight="false" outlineLevel="0" collapsed="false">
      <c r="A8" s="12" t="s">
        <v>154</v>
      </c>
      <c r="B8" s="12" t="s">
        <v>155</v>
      </c>
      <c r="C8" s="35" t="n">
        <v>45257</v>
      </c>
      <c r="D8" s="16" t="s">
        <v>32</v>
      </c>
      <c r="E8" s="26" t="s">
        <v>102</v>
      </c>
      <c r="F8" s="21" t="n">
        <v>60</v>
      </c>
      <c r="G8" s="16" t="s">
        <v>156</v>
      </c>
      <c r="H8" s="13" t="n">
        <f aca="false">IF(G8="","",LEN(G8)-LEN(SUBSTITUTE(G8,"／",""))+1)</f>
        <v>6</v>
      </c>
      <c r="I8" s="25" t="n">
        <v>1500</v>
      </c>
      <c r="J8" s="21" t="n">
        <v>19</v>
      </c>
      <c r="K8" s="21"/>
      <c r="L8" s="14" t="n">
        <f aca="false">IF(OR(I8="",J8=""),"",I8*J8)</f>
        <v>28500</v>
      </c>
      <c r="M8" s="25"/>
      <c r="N8" s="25"/>
      <c r="O8" s="25"/>
      <c r="P8" s="25"/>
      <c r="Q8" s="25"/>
      <c r="R8" s="14" t="n">
        <f aca="false">IF(COUNT(L8:Q8)=0,"",SUM(L8:Q8))</f>
        <v>28500</v>
      </c>
      <c r="S8" s="38" t="n">
        <f aca="false">IFERROR(INDEX(会場マスタ!$C$2:$C$12,MATCH(E8,会場マスタ!$A$2:$A$12,0)),"")</f>
        <v>45000</v>
      </c>
      <c r="T8" s="38" t="n">
        <f aca="false">IF(AI8="","",AI8*ガイド!$C$9)</f>
        <v>16000</v>
      </c>
      <c r="U8" s="38" t="n">
        <f aca="false">ガイド!$C$10</f>
        <v>4000</v>
      </c>
      <c r="V8" s="36" t="n">
        <f aca="false">IF(L8="","",ROUND(L8*ガイド!$C$6,0))</f>
        <v>0</v>
      </c>
      <c r="W8" s="14" t="n">
        <f aca="false">IF(COUNT(S8:V8)=0,"",SUM(S8:V8))</f>
        <v>65000</v>
      </c>
      <c r="X8" s="14" t="n">
        <f aca="false">IF(AND(R8="",W8=""),"",SUM(R8)-SUM(W8))</f>
        <v>-36500</v>
      </c>
      <c r="Y8" s="15" t="n">
        <f aca="false">IFERROR(X8/R8,"")</f>
        <v>-1.28070175438597</v>
      </c>
      <c r="Z8" s="14" t="n">
        <f aca="false">IFERROR(R8/J8,"")</f>
        <v>1500</v>
      </c>
      <c r="AA8" s="15" t="n">
        <f aca="false">IF(OR(J8="",F8=""),"",IFERROR(J8/F8,""))</f>
        <v>0.316666666666667</v>
      </c>
      <c r="AB8" s="15" t="n">
        <f aca="false">IFERROR((J8-K8)/J8,"")</f>
        <v>1</v>
      </c>
      <c r="AC8" s="13" t="n">
        <f aca="false">IFERROR(ROUNDUP(W8/I8,0),"")</f>
        <v>44</v>
      </c>
      <c r="AD8" s="37" t="s">
        <v>141</v>
      </c>
      <c r="AI8" s="21" t="n">
        <v>4</v>
      </c>
    </row>
    <row r="9" customFormat="false" ht="15" hidden="false" customHeight="false" outlineLevel="0" collapsed="false">
      <c r="A9" s="12" t="s">
        <v>157</v>
      </c>
      <c r="B9" s="12" t="s">
        <v>158</v>
      </c>
      <c r="C9" s="35" t="n">
        <v>45280</v>
      </c>
      <c r="D9" s="16" t="s">
        <v>34</v>
      </c>
      <c r="E9" s="26" t="s">
        <v>102</v>
      </c>
      <c r="F9" s="21" t="n">
        <v>60</v>
      </c>
      <c r="G9" s="16" t="s">
        <v>159</v>
      </c>
      <c r="H9" s="13" t="n">
        <f aca="false">IF(G9="","",LEN(G9)-LEN(SUBSTITUTE(G9,"／",""))+1)</f>
        <v>7</v>
      </c>
      <c r="I9" s="25" t="n">
        <v>1500</v>
      </c>
      <c r="J9" s="21" t="n">
        <v>14</v>
      </c>
      <c r="K9" s="21"/>
      <c r="L9" s="14" t="n">
        <f aca="false">IF(OR(I9="",J9=""),"",I9*J9)</f>
        <v>21000</v>
      </c>
      <c r="M9" s="25"/>
      <c r="N9" s="25"/>
      <c r="O9" s="25"/>
      <c r="P9" s="25"/>
      <c r="Q9" s="25"/>
      <c r="R9" s="14" t="n">
        <f aca="false">IF(COUNT(L9:Q9)=0,"",SUM(L9:Q9))</f>
        <v>21000</v>
      </c>
      <c r="S9" s="38" t="n">
        <f aca="false">IFERROR(INDEX(会場マスタ!$C$2:$C$12,MATCH(E9,会場マスタ!$A$2:$A$12,0)),"")</f>
        <v>45000</v>
      </c>
      <c r="T9" s="38" t="n">
        <f aca="false">IF(AI9="","",AI9*ガイド!$C$9)</f>
        <v>20000</v>
      </c>
      <c r="U9" s="38" t="n">
        <f aca="false">ガイド!$C$10</f>
        <v>4000</v>
      </c>
      <c r="V9" s="36" t="n">
        <f aca="false">IF(L9="","",ROUND(L9*ガイド!$C$6,0))</f>
        <v>0</v>
      </c>
      <c r="W9" s="14" t="n">
        <f aca="false">IF(COUNT(S9:V9)=0,"",SUM(S9:V9))</f>
        <v>69000</v>
      </c>
      <c r="X9" s="14" t="n">
        <f aca="false">IF(AND(R9="",W9=""),"",SUM(R9)-SUM(W9))</f>
        <v>-48000</v>
      </c>
      <c r="Y9" s="15" t="n">
        <f aca="false">IFERROR(X9/R9,"")</f>
        <v>-2.28571428571429</v>
      </c>
      <c r="Z9" s="14" t="n">
        <f aca="false">IFERROR(R9/J9,"")</f>
        <v>1500</v>
      </c>
      <c r="AA9" s="15" t="n">
        <f aca="false">IF(OR(J9="",F9=""),"",IFERROR(J9/F9,""))</f>
        <v>0.233333333333333</v>
      </c>
      <c r="AB9" s="15" t="n">
        <f aca="false">IFERROR((J9-K9)/J9,"")</f>
        <v>1</v>
      </c>
      <c r="AC9" s="13" t="n">
        <f aca="false">IFERROR(ROUNDUP(W9/I9,0),"")</f>
        <v>46</v>
      </c>
      <c r="AD9" s="37" t="s">
        <v>141</v>
      </c>
      <c r="AI9" s="21" t="n">
        <v>5</v>
      </c>
    </row>
    <row r="10" customFormat="false" ht="15" hidden="false" customHeight="false" outlineLevel="0" collapsed="false">
      <c r="A10" s="12" t="s">
        <v>160</v>
      </c>
      <c r="B10" s="12" t="s">
        <v>161</v>
      </c>
      <c r="C10" s="35" t="n">
        <v>45340</v>
      </c>
      <c r="D10" s="16" t="s">
        <v>38</v>
      </c>
      <c r="E10" s="26" t="s">
        <v>102</v>
      </c>
      <c r="F10" s="21" t="n">
        <v>64</v>
      </c>
      <c r="G10" s="16" t="s">
        <v>162</v>
      </c>
      <c r="H10" s="13" t="n">
        <f aca="false">IF(G10="","",LEN(G10)-LEN(SUBSTITUTE(G10,"／",""))+1)</f>
        <v>6</v>
      </c>
      <c r="I10" s="25" t="n">
        <v>1500</v>
      </c>
      <c r="J10" s="21" t="n">
        <v>60</v>
      </c>
      <c r="K10" s="21"/>
      <c r="L10" s="14" t="n">
        <f aca="false">IF(OR(I10="",J10=""),"",I10*J10)</f>
        <v>90000</v>
      </c>
      <c r="M10" s="25"/>
      <c r="N10" s="25"/>
      <c r="O10" s="25"/>
      <c r="P10" s="25"/>
      <c r="Q10" s="25"/>
      <c r="R10" s="14" t="n">
        <f aca="false">IF(COUNT(L10:Q10)=0,"",SUM(L10:Q10))</f>
        <v>90000</v>
      </c>
      <c r="S10" s="38" t="n">
        <f aca="false">IFERROR(INDEX(会場マスタ!$C$2:$C$12,MATCH(E10,会場マスタ!$A$2:$A$12,0)),"")</f>
        <v>45000</v>
      </c>
      <c r="T10" s="38" t="n">
        <f aca="false">IF(AI10="","",AI10*ガイド!$C$9)</f>
        <v>16000</v>
      </c>
      <c r="U10" s="38" t="n">
        <f aca="false">ガイド!$C$10</f>
        <v>4000</v>
      </c>
      <c r="V10" s="36" t="n">
        <f aca="false">IF(L10="","",ROUND(L10*ガイド!$C$6,0))</f>
        <v>0</v>
      </c>
      <c r="W10" s="14" t="n">
        <f aca="false">IF(COUNT(S10:V10)=0,"",SUM(S10:V10))</f>
        <v>65000</v>
      </c>
      <c r="X10" s="14" t="n">
        <f aca="false">IF(AND(R10="",W10=""),"",SUM(R10)-SUM(W10))</f>
        <v>25000</v>
      </c>
      <c r="Y10" s="15" t="n">
        <f aca="false">IFERROR(X10/R10,"")</f>
        <v>0.277777777777778</v>
      </c>
      <c r="Z10" s="14" t="n">
        <f aca="false">IFERROR(R10/J10,"")</f>
        <v>1500</v>
      </c>
      <c r="AA10" s="15" t="n">
        <f aca="false">IF(OR(J10="",F10=""),"",IFERROR(J10/F10,""))</f>
        <v>0.9375</v>
      </c>
      <c r="AB10" s="15" t="n">
        <f aca="false">IFERROR((J10-K10)/J10,"")</f>
        <v>1</v>
      </c>
      <c r="AC10" s="13" t="n">
        <f aca="false">IFERROR(ROUNDUP(W10/I10,0),"")</f>
        <v>44</v>
      </c>
      <c r="AD10" s="26" t="s">
        <v>163</v>
      </c>
      <c r="AI10" s="21" t="n">
        <v>4</v>
      </c>
    </row>
    <row r="11" customFormat="false" ht="15" hidden="false" customHeight="false" outlineLevel="0" collapsed="false">
      <c r="A11" s="12" t="s">
        <v>164</v>
      </c>
      <c r="B11" s="12" t="s">
        <v>165</v>
      </c>
      <c r="C11" s="35" t="n">
        <v>45369</v>
      </c>
      <c r="D11" s="16" t="s">
        <v>32</v>
      </c>
      <c r="E11" s="26" t="s">
        <v>102</v>
      </c>
      <c r="F11" s="21" t="n">
        <v>65</v>
      </c>
      <c r="G11" s="16" t="s">
        <v>166</v>
      </c>
      <c r="H11" s="13" t="n">
        <f aca="false">IF(G11="","",LEN(G11)-LEN(SUBSTITUTE(G11,"／",""))+1)</f>
        <v>6</v>
      </c>
      <c r="I11" s="25" t="n">
        <v>1500</v>
      </c>
      <c r="J11" s="21" t="n">
        <v>42</v>
      </c>
      <c r="K11" s="21"/>
      <c r="L11" s="14" t="n">
        <f aca="false">IF(OR(I11="",J11=""),"",I11*J11)</f>
        <v>63000</v>
      </c>
      <c r="M11" s="25"/>
      <c r="N11" s="25"/>
      <c r="O11" s="25"/>
      <c r="P11" s="25"/>
      <c r="Q11" s="25"/>
      <c r="R11" s="14" t="n">
        <f aca="false">IF(COUNT(L11:Q11)=0,"",SUM(L11:Q11))</f>
        <v>63000</v>
      </c>
      <c r="S11" s="38" t="n">
        <f aca="false">IFERROR(INDEX(会場マスタ!$C$2:$C$12,MATCH(E11,会場マスタ!$A$2:$A$12,0)),"")</f>
        <v>45000</v>
      </c>
      <c r="T11" s="38" t="n">
        <f aca="false">IF(AI11="","",AI11*ガイド!$C$9)</f>
        <v>16000</v>
      </c>
      <c r="U11" s="38" t="n">
        <f aca="false">ガイド!$C$10</f>
        <v>4000</v>
      </c>
      <c r="V11" s="36" t="n">
        <f aca="false">IF(L11="","",ROUND(L11*ガイド!$C$6,0))</f>
        <v>0</v>
      </c>
      <c r="W11" s="14" t="n">
        <f aca="false">IF(COUNT(S11:V11)=0,"",SUM(S11:V11))</f>
        <v>65000</v>
      </c>
      <c r="X11" s="14" t="n">
        <f aca="false">IF(AND(R11="",W11=""),"",SUM(R11)-SUM(W11))</f>
        <v>-2000</v>
      </c>
      <c r="Y11" s="15" t="n">
        <f aca="false">IFERROR(X11/R11,"")</f>
        <v>-0.0317460317460317</v>
      </c>
      <c r="Z11" s="14" t="n">
        <f aca="false">IFERROR(R11/J11,"")</f>
        <v>1500</v>
      </c>
      <c r="AA11" s="15" t="n">
        <f aca="false">IF(OR(J11="",F11=""),"",IFERROR(J11/F11,""))</f>
        <v>0.646153846153846</v>
      </c>
      <c r="AB11" s="15" t="n">
        <f aca="false">IFERROR((J11-K11)/J11,"")</f>
        <v>1</v>
      </c>
      <c r="AC11" s="13" t="n">
        <f aca="false">IFERROR(ROUNDUP(W11/I11,0),"")</f>
        <v>44</v>
      </c>
      <c r="AD11" s="26" t="s">
        <v>167</v>
      </c>
      <c r="AI11" s="21" t="n">
        <v>4</v>
      </c>
    </row>
    <row r="12" customFormat="false" ht="15" hidden="false" customHeight="false" outlineLevel="0" collapsed="false">
      <c r="A12" s="12" t="s">
        <v>168</v>
      </c>
      <c r="B12" s="12" t="s">
        <v>169</v>
      </c>
      <c r="C12" s="35" t="n">
        <v>45401</v>
      </c>
      <c r="D12" s="16" t="s">
        <v>36</v>
      </c>
      <c r="E12" s="26" t="s">
        <v>102</v>
      </c>
      <c r="F12" s="21" t="n">
        <v>65</v>
      </c>
      <c r="G12" s="16" t="s">
        <v>170</v>
      </c>
      <c r="H12" s="13" t="n">
        <f aca="false">IF(G12="","",LEN(G12)-LEN(SUBSTITUTE(G12,"／",""))+1)</f>
        <v>6</v>
      </c>
      <c r="I12" s="25" t="n">
        <v>1000</v>
      </c>
      <c r="J12" s="21" t="n">
        <v>32</v>
      </c>
      <c r="K12" s="21"/>
      <c r="L12" s="25" t="n">
        <v>18000</v>
      </c>
      <c r="M12" s="25"/>
      <c r="N12" s="25"/>
      <c r="O12" s="25"/>
      <c r="P12" s="25"/>
      <c r="Q12" s="25"/>
      <c r="R12" s="14" t="n">
        <f aca="false">IF(COUNT(L12:Q12)=0,"",SUM(L12:Q12))</f>
        <v>18000</v>
      </c>
      <c r="S12" s="25" t="n">
        <v>40000</v>
      </c>
      <c r="T12" s="25" t="n">
        <v>14000</v>
      </c>
      <c r="U12" s="25" t="n">
        <v>4000</v>
      </c>
      <c r="V12" s="36" t="n">
        <f aca="false">IF(L12="","",ROUND(L12*ガイド!$C$6,0))</f>
        <v>0</v>
      </c>
      <c r="W12" s="14" t="n">
        <f aca="false">IF(COUNT(S12:V12)=0,"",SUM(S12:V12))</f>
        <v>58000</v>
      </c>
      <c r="X12" s="14" t="n">
        <f aca="false">IF(AND(R12="",W12=""),"",SUM(R12)-SUM(W12))</f>
        <v>-40000</v>
      </c>
      <c r="Y12" s="15" t="n">
        <f aca="false">IFERROR(X12/R12,"")</f>
        <v>-2.22222222222222</v>
      </c>
      <c r="Z12" s="14" t="n">
        <f aca="false">IFERROR(R12/J12,"")</f>
        <v>562.5</v>
      </c>
      <c r="AA12" s="15" t="n">
        <f aca="false">IF(OR(J12="",F12=""),"",IFERROR(J12/F12,""))</f>
        <v>0.492307692307692</v>
      </c>
      <c r="AB12" s="15" t="n">
        <f aca="false">IFERROR((J12-K12)/J12,"")</f>
        <v>1</v>
      </c>
      <c r="AC12" s="13" t="n">
        <f aca="false">IFERROR(ROUNDUP(W12/I12,0),"")</f>
        <v>58</v>
      </c>
      <c r="AD12" s="26" t="s">
        <v>171</v>
      </c>
      <c r="AI12" s="21" t="n">
        <v>3</v>
      </c>
    </row>
    <row r="13" customFormat="false" ht="15" hidden="false" customHeight="false" outlineLevel="0" collapsed="false">
      <c r="A13" s="12" t="s">
        <v>172</v>
      </c>
      <c r="B13" s="12" t="s">
        <v>173</v>
      </c>
      <c r="C13" s="35" t="n">
        <v>45440</v>
      </c>
      <c r="D13" s="16" t="s">
        <v>33</v>
      </c>
      <c r="E13" s="26" t="s">
        <v>102</v>
      </c>
      <c r="F13" s="21" t="n">
        <v>65</v>
      </c>
      <c r="G13" s="16" t="s">
        <v>174</v>
      </c>
      <c r="H13" s="13" t="n">
        <f aca="false">IF(G13="","",LEN(G13)-LEN(SUBSTITUTE(G13,"／",""))+1)</f>
        <v>3</v>
      </c>
      <c r="I13" s="25" t="n">
        <v>1000</v>
      </c>
      <c r="J13" s="21" t="n">
        <v>33</v>
      </c>
      <c r="K13" s="21"/>
      <c r="L13" s="14" t="n">
        <f aca="false">IF(OR(I13="",J13=""),"",I13*J13)</f>
        <v>33000</v>
      </c>
      <c r="M13" s="25"/>
      <c r="N13" s="25"/>
      <c r="O13" s="25"/>
      <c r="P13" s="25"/>
      <c r="Q13" s="25"/>
      <c r="R13" s="14" t="n">
        <f aca="false">IF(COUNT(L13:Q13)=0,"",SUM(L13:Q13))</f>
        <v>33000</v>
      </c>
      <c r="S13" s="38" t="n">
        <f aca="false">IFERROR(INDEX(会場マスタ!$C$2:$C$12,MATCH(E13,会場マスタ!$A$2:$A$12,0)),"")</f>
        <v>45000</v>
      </c>
      <c r="T13" s="38" t="n">
        <f aca="false">IF(AI13="","",AI13*ガイド!$C$9)</f>
        <v>12000</v>
      </c>
      <c r="U13" s="38" t="n">
        <f aca="false">ガイド!$C$10</f>
        <v>4000</v>
      </c>
      <c r="V13" s="36" t="n">
        <f aca="false">IF(L13="","",ROUND(L13*ガイド!$C$6,0))</f>
        <v>0</v>
      </c>
      <c r="W13" s="14" t="n">
        <f aca="false">IF(COUNT(S13:V13)=0,"",SUM(S13:V13))</f>
        <v>61000</v>
      </c>
      <c r="X13" s="14" t="n">
        <f aca="false">IF(AND(R13="",W13=""),"",SUM(R13)-SUM(W13))</f>
        <v>-28000</v>
      </c>
      <c r="Y13" s="15" t="n">
        <f aca="false">IFERROR(X13/R13,"")</f>
        <v>-0.848484848484849</v>
      </c>
      <c r="Z13" s="14" t="n">
        <f aca="false">IFERROR(R13/J13,"")</f>
        <v>1000</v>
      </c>
      <c r="AA13" s="15" t="n">
        <f aca="false">IF(OR(J13="",F13=""),"",IFERROR(J13/F13,""))</f>
        <v>0.507692307692308</v>
      </c>
      <c r="AB13" s="15" t="n">
        <f aca="false">IFERROR((J13-K13)/J13,"")</f>
        <v>1</v>
      </c>
      <c r="AC13" s="13" t="n">
        <f aca="false">IFERROR(ROUNDUP(W13/I13,0),"")</f>
        <v>61</v>
      </c>
      <c r="AD13" s="26" t="s">
        <v>171</v>
      </c>
      <c r="AI13" s="21" t="n">
        <v>3</v>
      </c>
    </row>
    <row r="14" customFormat="false" ht="15" hidden="false" customHeight="false" outlineLevel="0" collapsed="false">
      <c r="A14" s="12" t="s">
        <v>175</v>
      </c>
      <c r="B14" s="12" t="s">
        <v>176</v>
      </c>
      <c r="C14" s="35" t="n">
        <v>45472</v>
      </c>
      <c r="D14" s="16" t="s">
        <v>37</v>
      </c>
      <c r="E14" s="26" t="s">
        <v>102</v>
      </c>
      <c r="F14" s="21" t="n">
        <v>40</v>
      </c>
      <c r="G14" s="16" t="s">
        <v>174</v>
      </c>
      <c r="H14" s="13" t="n">
        <f aca="false">IF(G14="","",LEN(G14)-LEN(SUBSTITUTE(G14,"／",""))+1)</f>
        <v>3</v>
      </c>
      <c r="I14" s="25" t="n">
        <v>1500</v>
      </c>
      <c r="J14" s="21" t="n">
        <v>14</v>
      </c>
      <c r="K14" s="21"/>
      <c r="L14" s="14" t="n">
        <f aca="false">IF(OR(I14="",J14=""),"",I14*J14)</f>
        <v>21000</v>
      </c>
      <c r="M14" s="25"/>
      <c r="N14" s="25"/>
      <c r="O14" s="25"/>
      <c r="P14" s="25"/>
      <c r="Q14" s="25"/>
      <c r="R14" s="14" t="n">
        <f aca="false">IF(COUNT(L14:Q14)=0,"",SUM(L14:Q14))</f>
        <v>21000</v>
      </c>
      <c r="S14" s="38" t="n">
        <f aca="false">IFERROR(INDEX(会場マスタ!$C$2:$C$12,MATCH(E14,会場マスタ!$A$2:$A$12,0)),"")</f>
        <v>45000</v>
      </c>
      <c r="T14" s="38" t="n">
        <f aca="false">IF(AI14="","",AI14*ガイド!$C$9)</f>
        <v>12000</v>
      </c>
      <c r="U14" s="38" t="n">
        <f aca="false">ガイド!$C$10</f>
        <v>4000</v>
      </c>
      <c r="V14" s="36" t="n">
        <f aca="false">IF(L14="","",ROUND(L14*ガイド!$C$6,0))</f>
        <v>0</v>
      </c>
      <c r="W14" s="14" t="n">
        <f aca="false">IF(COUNT(S14:V14)=0,"",SUM(S14:V14))</f>
        <v>61000</v>
      </c>
      <c r="X14" s="14" t="n">
        <f aca="false">IF(AND(R14="",W14=""),"",SUM(R14)-SUM(W14))</f>
        <v>-40000</v>
      </c>
      <c r="Y14" s="15" t="n">
        <f aca="false">IFERROR(X14/R14,"")</f>
        <v>-1.9047619047619</v>
      </c>
      <c r="Z14" s="14" t="n">
        <f aca="false">IFERROR(R14/J14,"")</f>
        <v>1500</v>
      </c>
      <c r="AA14" s="15" t="n">
        <f aca="false">IF(OR(J14="",F14=""),"",IFERROR(J14/F14,""))</f>
        <v>0.35</v>
      </c>
      <c r="AB14" s="15" t="n">
        <f aca="false">IFERROR((J14-K14)/J14,"")</f>
        <v>1</v>
      </c>
      <c r="AC14" s="13" t="n">
        <f aca="false">IFERROR(ROUNDUP(W14/I14,0),"")</f>
        <v>41</v>
      </c>
      <c r="AD14" s="26" t="s">
        <v>177</v>
      </c>
      <c r="AI14" s="21" t="n">
        <v>3</v>
      </c>
    </row>
    <row r="15" customFormat="false" ht="15" hidden="false" customHeight="false" outlineLevel="0" collapsed="false">
      <c r="A15" s="12" t="s">
        <v>178</v>
      </c>
      <c r="B15" s="12" t="s">
        <v>179</v>
      </c>
      <c r="C15" s="35" t="n">
        <v>45498</v>
      </c>
      <c r="D15" s="16" t="s">
        <v>35</v>
      </c>
      <c r="E15" s="26" t="s">
        <v>102</v>
      </c>
      <c r="F15" s="21" t="n">
        <v>65</v>
      </c>
      <c r="G15" s="16" t="s">
        <v>174</v>
      </c>
      <c r="H15" s="13" t="n">
        <f aca="false">IF(G15="","",LEN(G15)-LEN(SUBSTITUTE(G15,"／",""))+1)</f>
        <v>3</v>
      </c>
      <c r="I15" s="25" t="n">
        <v>1500</v>
      </c>
      <c r="J15" s="21" t="n">
        <v>22</v>
      </c>
      <c r="K15" s="21"/>
      <c r="L15" s="25" t="n">
        <v>22500</v>
      </c>
      <c r="M15" s="25"/>
      <c r="N15" s="25"/>
      <c r="O15" s="25"/>
      <c r="P15" s="25"/>
      <c r="Q15" s="25"/>
      <c r="R15" s="14" t="n">
        <f aca="false">IF(COUNT(L15:Q15)=0,"",SUM(L15:Q15))</f>
        <v>22500</v>
      </c>
      <c r="S15" s="25" t="n">
        <v>45000</v>
      </c>
      <c r="T15" s="25" t="n">
        <v>12000</v>
      </c>
      <c r="U15" s="25" t="n">
        <v>4000</v>
      </c>
      <c r="V15" s="36" t="n">
        <f aca="false">IF(L15="","",ROUND(L15*ガイド!$C$6,0))</f>
        <v>0</v>
      </c>
      <c r="W15" s="14" t="n">
        <f aca="false">IF(COUNT(S15:V15)=0,"",SUM(S15:V15))</f>
        <v>61000</v>
      </c>
      <c r="X15" s="14" t="n">
        <f aca="false">IF(AND(R15="",W15=""),"",SUM(R15)-SUM(W15))</f>
        <v>-38500</v>
      </c>
      <c r="Y15" s="15" t="n">
        <f aca="false">IFERROR(X15/R15,"")</f>
        <v>-1.71111111111111</v>
      </c>
      <c r="Z15" s="14" t="n">
        <f aca="false">IFERROR(R15/J15,"")</f>
        <v>1022.72727272727</v>
      </c>
      <c r="AA15" s="15" t="n">
        <f aca="false">IF(OR(J15="",F15=""),"",IFERROR(J15/F15,""))</f>
        <v>0.338461538461539</v>
      </c>
      <c r="AB15" s="15" t="n">
        <f aca="false">IFERROR((J15-K15)/J15,"")</f>
        <v>1</v>
      </c>
      <c r="AC15" s="13" t="n">
        <f aca="false">IFERROR(ROUNDUP(W15/I15,0),"")</f>
        <v>41</v>
      </c>
      <c r="AD15" s="37" t="s">
        <v>180</v>
      </c>
      <c r="AI15" s="21" t="n">
        <v>3</v>
      </c>
    </row>
    <row r="16" customFormat="false" ht="15" hidden="false" customHeight="false" outlineLevel="0" collapsed="false">
      <c r="A16" s="12" t="s">
        <v>181</v>
      </c>
      <c r="B16" s="12" t="s">
        <v>182</v>
      </c>
      <c r="C16" s="35" t="n">
        <v>45533</v>
      </c>
      <c r="D16" s="16" t="s">
        <v>35</v>
      </c>
      <c r="E16" s="26" t="s">
        <v>102</v>
      </c>
      <c r="F16" s="21" t="n">
        <v>45</v>
      </c>
      <c r="G16" s="16" t="s">
        <v>174</v>
      </c>
      <c r="H16" s="13" t="n">
        <f aca="false">IF(G16="","",LEN(G16)-LEN(SUBSTITUTE(G16,"／",""))+1)</f>
        <v>3</v>
      </c>
      <c r="I16" s="25" t="n">
        <v>1500</v>
      </c>
      <c r="J16" s="21" t="n">
        <v>16</v>
      </c>
      <c r="K16" s="21"/>
      <c r="L16" s="14" t="n">
        <f aca="false">IF(OR(I16="",J16=""),"",I16*J16)</f>
        <v>24000</v>
      </c>
      <c r="M16" s="25"/>
      <c r="N16" s="25"/>
      <c r="O16" s="25"/>
      <c r="P16" s="25"/>
      <c r="Q16" s="25"/>
      <c r="R16" s="14" t="n">
        <f aca="false">IF(COUNT(L16:Q16)=0,"",SUM(L16:Q16))</f>
        <v>24000</v>
      </c>
      <c r="S16" s="38" t="n">
        <f aca="false">IFERROR(INDEX(会場マスタ!$C$2:$C$12,MATCH(E16,会場マスタ!$A$2:$A$12,0)),"")</f>
        <v>45000</v>
      </c>
      <c r="T16" s="38" t="n">
        <f aca="false">IF(AI16="","",AI16*ガイド!$C$9)</f>
        <v>12000</v>
      </c>
      <c r="U16" s="38" t="n">
        <f aca="false">ガイド!$C$10</f>
        <v>4000</v>
      </c>
      <c r="V16" s="36" t="n">
        <f aca="false">IF(L16="","",ROUND(L16*ガイド!$C$6,0))</f>
        <v>0</v>
      </c>
      <c r="W16" s="14" t="n">
        <f aca="false">IF(COUNT(S16:V16)=0,"",SUM(S16:V16))</f>
        <v>61000</v>
      </c>
      <c r="X16" s="14" t="n">
        <f aca="false">IF(AND(R16="",W16=""),"",SUM(R16)-SUM(W16))</f>
        <v>-37000</v>
      </c>
      <c r="Y16" s="15" t="n">
        <f aca="false">IFERROR(X16/R16,"")</f>
        <v>-1.54166666666667</v>
      </c>
      <c r="Z16" s="14" t="n">
        <f aca="false">IFERROR(R16/J16,"")</f>
        <v>1500</v>
      </c>
      <c r="AA16" s="15" t="n">
        <f aca="false">IF(OR(J16="",F16=""),"",IFERROR(J16/F16,""))</f>
        <v>0.355555555555556</v>
      </c>
      <c r="AB16" s="15" t="n">
        <f aca="false">IFERROR((J16-K16)/J16,"")</f>
        <v>1</v>
      </c>
      <c r="AC16" s="13" t="n">
        <f aca="false">IFERROR(ROUNDUP(W16/I16,0),"")</f>
        <v>41</v>
      </c>
      <c r="AD16" s="37" t="s">
        <v>180</v>
      </c>
      <c r="AI16" s="21" t="n">
        <v>3</v>
      </c>
    </row>
    <row r="17" customFormat="false" ht="15" hidden="false" customHeight="false" outlineLevel="0" collapsed="false">
      <c r="A17" s="12" t="s">
        <v>183</v>
      </c>
      <c r="B17" s="12" t="s">
        <v>184</v>
      </c>
      <c r="C17" s="35" t="n">
        <v>45565</v>
      </c>
      <c r="D17" s="16" t="s">
        <v>32</v>
      </c>
      <c r="E17" s="26" t="s">
        <v>102</v>
      </c>
      <c r="F17" s="21" t="n">
        <v>65</v>
      </c>
      <c r="G17" s="16" t="s">
        <v>174</v>
      </c>
      <c r="H17" s="13" t="n">
        <f aca="false">IF(G17="","",LEN(G17)-LEN(SUBSTITUTE(G17,"／",""))+1)</f>
        <v>3</v>
      </c>
      <c r="I17" s="25" t="n">
        <v>1500</v>
      </c>
      <c r="J17" s="21" t="n">
        <v>38</v>
      </c>
      <c r="K17" s="21"/>
      <c r="L17" s="14" t="n">
        <f aca="false">IF(OR(I17="",J17=""),"",I17*J17)</f>
        <v>57000</v>
      </c>
      <c r="M17" s="25"/>
      <c r="N17" s="25"/>
      <c r="O17" s="25"/>
      <c r="P17" s="25"/>
      <c r="Q17" s="25"/>
      <c r="R17" s="14" t="n">
        <f aca="false">IF(COUNT(L17:Q17)=0,"",SUM(L17:Q17))</f>
        <v>57000</v>
      </c>
      <c r="S17" s="38" t="n">
        <f aca="false">IFERROR(INDEX(会場マスタ!$C$2:$C$12,MATCH(E17,会場マスタ!$A$2:$A$12,0)),"")</f>
        <v>45000</v>
      </c>
      <c r="T17" s="38" t="n">
        <f aca="false">IF(AI17="","",AI17*ガイド!$C$9)</f>
        <v>12000</v>
      </c>
      <c r="U17" s="38" t="n">
        <f aca="false">ガイド!$C$10</f>
        <v>4000</v>
      </c>
      <c r="V17" s="36" t="n">
        <f aca="false">IF(L17="","",ROUND(L17*ガイド!$C$6,0))</f>
        <v>0</v>
      </c>
      <c r="W17" s="14" t="n">
        <f aca="false">IF(COUNT(S17:V17)=0,"",SUM(S17:V17))</f>
        <v>61000</v>
      </c>
      <c r="X17" s="14" t="n">
        <f aca="false">IF(AND(R17="",W17=""),"",SUM(R17)-SUM(W17))</f>
        <v>-4000</v>
      </c>
      <c r="Y17" s="15" t="n">
        <f aca="false">IFERROR(X17/R17,"")</f>
        <v>-0.0701754385964912</v>
      </c>
      <c r="Z17" s="14" t="n">
        <f aca="false">IFERROR(R17/J17,"")</f>
        <v>1500</v>
      </c>
      <c r="AA17" s="15" t="n">
        <f aca="false">IF(OR(J17="",F17=""),"",IFERROR(J17/F17,""))</f>
        <v>0.584615384615385</v>
      </c>
      <c r="AB17" s="15" t="n">
        <f aca="false">IFERROR((J17-K17)/J17,"")</f>
        <v>1</v>
      </c>
      <c r="AC17" s="13" t="n">
        <f aca="false">IFERROR(ROUNDUP(W17/I17,0),"")</f>
        <v>41</v>
      </c>
      <c r="AD17" s="37" t="s">
        <v>180</v>
      </c>
      <c r="AI17" s="21" t="n">
        <v>3</v>
      </c>
    </row>
    <row r="18" customFormat="false" ht="15" hidden="false" customHeight="false" outlineLevel="0" collapsed="false">
      <c r="A18" s="12" t="s">
        <v>185</v>
      </c>
      <c r="B18" s="12" t="s">
        <v>186</v>
      </c>
      <c r="C18" s="35" t="n">
        <v>45583</v>
      </c>
      <c r="D18" s="16" t="s">
        <v>36</v>
      </c>
      <c r="E18" s="26" t="s">
        <v>104</v>
      </c>
      <c r="F18" s="21" t="n">
        <v>65</v>
      </c>
      <c r="G18" s="16" t="s">
        <v>174</v>
      </c>
      <c r="H18" s="13" t="n">
        <f aca="false">IF(G18="","",LEN(G18)-LEN(SUBSTITUTE(G18,"／",""))+1)</f>
        <v>3</v>
      </c>
      <c r="I18" s="25" t="n">
        <v>1500</v>
      </c>
      <c r="J18" s="21" t="n">
        <v>13</v>
      </c>
      <c r="K18" s="21"/>
      <c r="L18" s="25" t="n">
        <v>17000</v>
      </c>
      <c r="M18" s="25"/>
      <c r="N18" s="25"/>
      <c r="O18" s="25"/>
      <c r="P18" s="25"/>
      <c r="Q18" s="25"/>
      <c r="R18" s="14" t="n">
        <f aca="false">IF(COUNT(L18:Q18)=0,"",SUM(L18:Q18))</f>
        <v>17000</v>
      </c>
      <c r="S18" s="25" t="n">
        <v>30000</v>
      </c>
      <c r="T18" s="25" t="n">
        <v>16800</v>
      </c>
      <c r="U18" s="25" t="n">
        <v>4000</v>
      </c>
      <c r="V18" s="36" t="n">
        <f aca="false">IF(L18="","",ROUND(L18*ガイド!$C$6,0))</f>
        <v>0</v>
      </c>
      <c r="W18" s="14" t="n">
        <f aca="false">IF(COUNT(S18:V18)=0,"",SUM(S18:V18))</f>
        <v>50800</v>
      </c>
      <c r="X18" s="14" t="n">
        <f aca="false">IF(AND(R18="",W18=""),"",SUM(R18)-SUM(W18))</f>
        <v>-33800</v>
      </c>
      <c r="Y18" s="15" t="n">
        <f aca="false">IFERROR(X18/R18,"")</f>
        <v>-1.98823529411765</v>
      </c>
      <c r="Z18" s="14" t="n">
        <f aca="false">IFERROR(R18/J18,"")</f>
        <v>1307.69230769231</v>
      </c>
      <c r="AA18" s="15" t="n">
        <f aca="false">IF(OR(J18="",F18=""),"",IFERROR(J18/F18,""))</f>
        <v>0.2</v>
      </c>
      <c r="AB18" s="15" t="n">
        <f aca="false">IFERROR((J18-K18)/J18,"")</f>
        <v>1</v>
      </c>
      <c r="AC18" s="13" t="n">
        <f aca="false">IFERROR(ROUNDUP(W18/I18,0),"")</f>
        <v>34</v>
      </c>
      <c r="AD18" s="37" t="s">
        <v>180</v>
      </c>
      <c r="AI18" s="21" t="n">
        <v>3</v>
      </c>
    </row>
    <row r="19" customFormat="false" ht="15" hidden="false" customHeight="false" outlineLevel="0" collapsed="false">
      <c r="A19" s="12" t="s">
        <v>187</v>
      </c>
      <c r="B19" s="12" t="s">
        <v>188</v>
      </c>
      <c r="C19" s="35" t="n">
        <v>45622</v>
      </c>
      <c r="D19" s="16" t="s">
        <v>33</v>
      </c>
      <c r="E19" s="26" t="s">
        <v>102</v>
      </c>
      <c r="F19" s="21" t="n">
        <v>65</v>
      </c>
      <c r="G19" s="16" t="s">
        <v>174</v>
      </c>
      <c r="H19" s="13" t="n">
        <f aca="false">IF(G19="","",LEN(G19)-LEN(SUBSTITUTE(G19,"／",""))+1)</f>
        <v>3</v>
      </c>
      <c r="I19" s="25" t="n">
        <v>1500</v>
      </c>
      <c r="J19" s="21" t="n">
        <v>32</v>
      </c>
      <c r="K19" s="21"/>
      <c r="L19" s="14" t="n">
        <f aca="false">IF(OR(I19="",J19=""),"",I19*J19)</f>
        <v>48000</v>
      </c>
      <c r="M19" s="25"/>
      <c r="N19" s="25"/>
      <c r="O19" s="25"/>
      <c r="P19" s="25"/>
      <c r="Q19" s="25"/>
      <c r="R19" s="14" t="n">
        <f aca="false">IF(COUNT(L19:Q19)=0,"",SUM(L19:Q19))</f>
        <v>48000</v>
      </c>
      <c r="S19" s="38" t="n">
        <f aca="false">IFERROR(INDEX(会場マスタ!$C$2:$C$12,MATCH(E19,会場マスタ!$A$2:$A$12,0)),"")</f>
        <v>45000</v>
      </c>
      <c r="T19" s="38" t="n">
        <f aca="false">IF(AI19="","",AI19*ガイド!$C$9)</f>
        <v>12000</v>
      </c>
      <c r="U19" s="38" t="n">
        <f aca="false">ガイド!$C$10</f>
        <v>4000</v>
      </c>
      <c r="V19" s="36" t="n">
        <f aca="false">IF(L19="","",ROUND(L19*ガイド!$C$6,0))</f>
        <v>0</v>
      </c>
      <c r="W19" s="14" t="n">
        <f aca="false">IF(COUNT(S19:V19)=0,"",SUM(S19:V19))</f>
        <v>61000</v>
      </c>
      <c r="X19" s="14" t="n">
        <f aca="false">IF(AND(R19="",W19=""),"",SUM(R19)-SUM(W19))</f>
        <v>-13000</v>
      </c>
      <c r="Y19" s="15" t="n">
        <f aca="false">IFERROR(X19/R19,"")</f>
        <v>-0.270833333333333</v>
      </c>
      <c r="Z19" s="14" t="n">
        <f aca="false">IFERROR(R19/J19,"")</f>
        <v>1500</v>
      </c>
      <c r="AA19" s="15" t="n">
        <f aca="false">IF(OR(J19="",F19=""),"",IFERROR(J19/F19,""))</f>
        <v>0.492307692307692</v>
      </c>
      <c r="AB19" s="15" t="n">
        <f aca="false">IFERROR((J19-K19)/J19,"")</f>
        <v>1</v>
      </c>
      <c r="AC19" s="13" t="n">
        <f aca="false">IFERROR(ROUNDUP(W19/I19,0),"")</f>
        <v>41</v>
      </c>
      <c r="AD19" s="37" t="s">
        <v>180</v>
      </c>
      <c r="AI19" s="21" t="n">
        <v>3</v>
      </c>
    </row>
    <row r="20" customFormat="false" ht="15" hidden="false" customHeight="false" outlineLevel="0" collapsed="false">
      <c r="A20" s="12" t="s">
        <v>189</v>
      </c>
      <c r="B20" s="12" t="s">
        <v>190</v>
      </c>
      <c r="C20" s="35" t="n">
        <v>45642</v>
      </c>
      <c r="D20" s="16" t="s">
        <v>32</v>
      </c>
      <c r="E20" s="26" t="s">
        <v>102</v>
      </c>
      <c r="F20" s="21" t="n">
        <v>40</v>
      </c>
      <c r="G20" s="16" t="s">
        <v>174</v>
      </c>
      <c r="H20" s="13" t="n">
        <f aca="false">IF(G20="","",LEN(G20)-LEN(SUBSTITUTE(G20,"／",""))+1)</f>
        <v>3</v>
      </c>
      <c r="I20" s="25" t="n">
        <v>1500</v>
      </c>
      <c r="J20" s="21" t="n">
        <v>11</v>
      </c>
      <c r="K20" s="21"/>
      <c r="L20" s="14" t="n">
        <f aca="false">IF(OR(I20="",J20=""),"",I20*J20)</f>
        <v>16500</v>
      </c>
      <c r="M20" s="25"/>
      <c r="N20" s="25"/>
      <c r="O20" s="25"/>
      <c r="P20" s="25"/>
      <c r="Q20" s="25"/>
      <c r="R20" s="14" t="n">
        <f aca="false">IF(COUNT(L20:Q20)=0,"",SUM(L20:Q20))</f>
        <v>16500</v>
      </c>
      <c r="S20" s="38" t="n">
        <f aca="false">IFERROR(INDEX(会場マスタ!$C$2:$C$12,MATCH(E20,会場マスタ!$A$2:$A$12,0)),"")</f>
        <v>45000</v>
      </c>
      <c r="T20" s="38" t="n">
        <f aca="false">IF(AI20="","",AI20*ガイド!$C$9)</f>
        <v>12000</v>
      </c>
      <c r="U20" s="38" t="n">
        <f aca="false">ガイド!$C$10</f>
        <v>4000</v>
      </c>
      <c r="V20" s="36" t="n">
        <f aca="false">IF(L20="","",ROUND(L20*ガイド!$C$6,0))</f>
        <v>0</v>
      </c>
      <c r="W20" s="14" t="n">
        <f aca="false">IF(COUNT(S20:V20)=0,"",SUM(S20:V20))</f>
        <v>61000</v>
      </c>
      <c r="X20" s="14" t="n">
        <f aca="false">IF(AND(R20="",W20=""),"",SUM(R20)-SUM(W20))</f>
        <v>-44500</v>
      </c>
      <c r="Y20" s="15" t="n">
        <f aca="false">IFERROR(X20/R20,"")</f>
        <v>-2.6969696969697</v>
      </c>
      <c r="Z20" s="14" t="n">
        <f aca="false">IFERROR(R20/J20,"")</f>
        <v>1500</v>
      </c>
      <c r="AA20" s="15" t="n">
        <f aca="false">IF(OR(J20="",F20=""),"",IFERROR(J20/F20,""))</f>
        <v>0.275</v>
      </c>
      <c r="AB20" s="15" t="n">
        <f aca="false">IFERROR((J20-K20)/J20,"")</f>
        <v>1</v>
      </c>
      <c r="AC20" s="13" t="n">
        <f aca="false">IFERROR(ROUNDUP(W20/I20,0),"")</f>
        <v>41</v>
      </c>
      <c r="AD20" s="37" t="s">
        <v>180</v>
      </c>
      <c r="AI20" s="21" t="n">
        <v>3</v>
      </c>
    </row>
    <row r="21" customFormat="false" ht="15" hidden="false" customHeight="false" outlineLevel="0" collapsed="false">
      <c r="A21" s="12" t="s">
        <v>191</v>
      </c>
      <c r="B21" s="12" t="s">
        <v>192</v>
      </c>
      <c r="C21" s="35" t="n">
        <v>45687</v>
      </c>
      <c r="D21" s="16" t="s">
        <v>35</v>
      </c>
      <c r="E21" s="26" t="s">
        <v>102</v>
      </c>
      <c r="F21" s="21" t="n">
        <v>65</v>
      </c>
      <c r="G21" s="16" t="s">
        <v>174</v>
      </c>
      <c r="H21" s="13" t="n">
        <f aca="false">IF(G21="","",LEN(G21)-LEN(SUBSTITUTE(G21,"／",""))+1)</f>
        <v>3</v>
      </c>
      <c r="I21" s="25" t="n">
        <v>1500</v>
      </c>
      <c r="J21" s="21" t="n">
        <v>21</v>
      </c>
      <c r="K21" s="21"/>
      <c r="L21" s="14" t="n">
        <f aca="false">IF(OR(I21="",J21=""),"",I21*J21)</f>
        <v>31500</v>
      </c>
      <c r="M21" s="25"/>
      <c r="N21" s="25"/>
      <c r="O21" s="25"/>
      <c r="P21" s="25"/>
      <c r="Q21" s="25"/>
      <c r="R21" s="14" t="n">
        <f aca="false">IF(COUNT(L21:Q21)=0,"",SUM(L21:Q21))</f>
        <v>31500</v>
      </c>
      <c r="S21" s="38" t="n">
        <f aca="false">IFERROR(INDEX(会場マスタ!$C$2:$C$12,MATCH(E21,会場マスタ!$A$2:$A$12,0)),"")</f>
        <v>45000</v>
      </c>
      <c r="T21" s="38" t="n">
        <f aca="false">IF(AI21="","",AI21*ガイド!$C$9)</f>
        <v>12000</v>
      </c>
      <c r="U21" s="38" t="n">
        <f aca="false">ガイド!$C$10</f>
        <v>4000</v>
      </c>
      <c r="V21" s="36" t="n">
        <f aca="false">IF(L21="","",ROUND(L21*ガイド!$C$6,0))</f>
        <v>0</v>
      </c>
      <c r="W21" s="14" t="n">
        <f aca="false">IF(COUNT(S21:V21)=0,"",SUM(S21:V21))</f>
        <v>61000</v>
      </c>
      <c r="X21" s="14" t="n">
        <f aca="false">IF(AND(R21="",W21=""),"",SUM(R21)-SUM(W21))</f>
        <v>-29500</v>
      </c>
      <c r="Y21" s="15" t="n">
        <f aca="false">IFERROR(X21/R21,"")</f>
        <v>-0.936507936507937</v>
      </c>
      <c r="Z21" s="14" t="n">
        <f aca="false">IFERROR(R21/J21,"")</f>
        <v>1500</v>
      </c>
      <c r="AA21" s="15" t="n">
        <f aca="false">IF(OR(J21="",F21=""),"",IFERROR(J21/F21,""))</f>
        <v>0.323076923076923</v>
      </c>
      <c r="AB21" s="15" t="n">
        <f aca="false">IFERROR((J21-K21)/J21,"")</f>
        <v>1</v>
      </c>
      <c r="AC21" s="13" t="n">
        <f aca="false">IFERROR(ROUNDUP(W21/I21,0),"")</f>
        <v>41</v>
      </c>
      <c r="AD21" s="37" t="s">
        <v>180</v>
      </c>
      <c r="AI21" s="21" t="n">
        <v>3</v>
      </c>
    </row>
    <row r="22" customFormat="false" ht="15" hidden="false" customHeight="false" outlineLevel="0" collapsed="false">
      <c r="A22" s="12" t="s">
        <v>193</v>
      </c>
      <c r="B22" s="12" t="s">
        <v>194</v>
      </c>
      <c r="C22" s="35" t="n">
        <v>45705</v>
      </c>
      <c r="D22" s="16" t="s">
        <v>32</v>
      </c>
      <c r="E22" s="26" t="s">
        <v>102</v>
      </c>
      <c r="F22" s="21" t="n">
        <v>40</v>
      </c>
      <c r="G22" s="16" t="s">
        <v>174</v>
      </c>
      <c r="H22" s="13" t="n">
        <f aca="false">IF(G22="","",LEN(G22)-LEN(SUBSTITUTE(G22,"／",""))+1)</f>
        <v>3</v>
      </c>
      <c r="I22" s="25" t="n">
        <v>1500</v>
      </c>
      <c r="J22" s="21" t="n">
        <v>19</v>
      </c>
      <c r="K22" s="21"/>
      <c r="L22" s="14" t="n">
        <f aca="false">IF(OR(I22="",J22=""),"",I22*J22)</f>
        <v>28500</v>
      </c>
      <c r="M22" s="25"/>
      <c r="N22" s="25"/>
      <c r="O22" s="25"/>
      <c r="P22" s="25"/>
      <c r="Q22" s="25"/>
      <c r="R22" s="14" t="n">
        <f aca="false">IF(COUNT(L22:Q22)=0,"",SUM(L22:Q22))</f>
        <v>28500</v>
      </c>
      <c r="S22" s="38" t="n">
        <f aca="false">IFERROR(INDEX(会場マスタ!$C$2:$C$12,MATCH(E22,会場マスタ!$A$2:$A$12,0)),"")</f>
        <v>45000</v>
      </c>
      <c r="T22" s="38" t="n">
        <f aca="false">IF(AI22="","",AI22*ガイド!$C$9)</f>
        <v>12000</v>
      </c>
      <c r="U22" s="38" t="n">
        <f aca="false">ガイド!$C$10</f>
        <v>4000</v>
      </c>
      <c r="V22" s="36" t="n">
        <f aca="false">IF(L22="","",ROUND(L22*ガイド!$C$6,0))</f>
        <v>0</v>
      </c>
      <c r="W22" s="14" t="n">
        <f aca="false">IF(COUNT(S22:V22)=0,"",SUM(S22:V22))</f>
        <v>61000</v>
      </c>
      <c r="X22" s="14" t="n">
        <f aca="false">IF(AND(R22="",W22=""),"",SUM(R22)-SUM(W22))</f>
        <v>-32500</v>
      </c>
      <c r="Y22" s="15" t="n">
        <f aca="false">IFERROR(X22/R22,"")</f>
        <v>-1.14035087719298</v>
      </c>
      <c r="Z22" s="14" t="n">
        <f aca="false">IFERROR(R22/J22,"")</f>
        <v>1500</v>
      </c>
      <c r="AA22" s="15" t="n">
        <f aca="false">IF(OR(J22="",F22=""),"",IFERROR(J22/F22,""))</f>
        <v>0.475</v>
      </c>
      <c r="AB22" s="15" t="n">
        <f aca="false">IFERROR((J22-K22)/J22,"")</f>
        <v>1</v>
      </c>
      <c r="AC22" s="13" t="n">
        <f aca="false">IFERROR(ROUNDUP(W22/I22,0),"")</f>
        <v>41</v>
      </c>
      <c r="AD22" s="37" t="s">
        <v>180</v>
      </c>
      <c r="AI22" s="21" t="n">
        <v>3</v>
      </c>
    </row>
    <row r="23" customFormat="false" ht="15" hidden="false" customHeight="false" outlineLevel="0" collapsed="false">
      <c r="A23" s="12" t="s">
        <v>195</v>
      </c>
      <c r="B23" s="12" t="s">
        <v>196</v>
      </c>
      <c r="C23" s="35" t="n">
        <v>45747</v>
      </c>
      <c r="D23" s="16" t="s">
        <v>32</v>
      </c>
      <c r="E23" s="26" t="s">
        <v>102</v>
      </c>
      <c r="F23" s="21" t="n">
        <v>62</v>
      </c>
      <c r="G23" s="16" t="s">
        <v>197</v>
      </c>
      <c r="H23" s="13" t="n">
        <f aca="false">IF(G23="","",LEN(G23)-LEN(SUBSTITUTE(G23,"／",""))+1)</f>
        <v>4</v>
      </c>
      <c r="I23" s="25" t="n">
        <v>1500</v>
      </c>
      <c r="J23" s="21" t="n">
        <v>54</v>
      </c>
      <c r="K23" s="21"/>
      <c r="L23" s="14" t="n">
        <f aca="false">IF(OR(I23="",J23=""),"",I23*J23)</f>
        <v>81000</v>
      </c>
      <c r="M23" s="25"/>
      <c r="N23" s="25"/>
      <c r="O23" s="25"/>
      <c r="P23" s="25"/>
      <c r="Q23" s="25"/>
      <c r="R23" s="14" t="n">
        <f aca="false">IF(COUNT(L23:Q23)=0,"",SUM(L23:Q23))</f>
        <v>81000</v>
      </c>
      <c r="S23" s="38" t="n">
        <f aca="false">IFERROR(INDEX(会場マスタ!$C$2:$C$12,MATCH(E23,会場マスタ!$A$2:$A$12,0)),"")</f>
        <v>45000</v>
      </c>
      <c r="T23" s="38" t="n">
        <f aca="false">IF(AI23="","",AI23*ガイド!$C$9)</f>
        <v>12000</v>
      </c>
      <c r="U23" s="38" t="n">
        <f aca="false">ガイド!$C$10</f>
        <v>4000</v>
      </c>
      <c r="V23" s="36" t="n">
        <f aca="false">IF(L23="","",ROUND(L23*ガイド!$C$6,0))</f>
        <v>0</v>
      </c>
      <c r="W23" s="14" t="n">
        <f aca="false">IF(COUNT(S23:V23)=0,"",SUM(S23:V23))</f>
        <v>61000</v>
      </c>
      <c r="X23" s="14" t="n">
        <f aca="false">IF(AND(R23="",W23=""),"",SUM(R23)-SUM(W23))</f>
        <v>20000</v>
      </c>
      <c r="Y23" s="15" t="n">
        <f aca="false">IFERROR(X23/R23,"")</f>
        <v>0.246913580246914</v>
      </c>
      <c r="Z23" s="14" t="n">
        <f aca="false">IFERROR(R23/J23,"")</f>
        <v>1500</v>
      </c>
      <c r="AA23" s="15" t="n">
        <f aca="false">IF(OR(J23="",F23=""),"",IFERROR(J23/F23,""))</f>
        <v>0.870967741935484</v>
      </c>
      <c r="AB23" s="15" t="n">
        <f aca="false">IFERROR((J23-K23)/J23,"")</f>
        <v>1</v>
      </c>
      <c r="AC23" s="13" t="n">
        <f aca="false">IFERROR(ROUNDUP(W23/I23,0),"")</f>
        <v>41</v>
      </c>
      <c r="AD23" s="37" t="s">
        <v>180</v>
      </c>
      <c r="AI23" s="21" t="n">
        <v>3</v>
      </c>
    </row>
    <row r="24" customFormat="false" ht="15" hidden="false" customHeight="false" outlineLevel="0" collapsed="false">
      <c r="A24" s="12" t="s">
        <v>198</v>
      </c>
      <c r="B24" s="12" t="s">
        <v>199</v>
      </c>
      <c r="C24" s="35" t="n">
        <v>45777</v>
      </c>
      <c r="D24" s="16" t="s">
        <v>34</v>
      </c>
      <c r="E24" s="26" t="s">
        <v>102</v>
      </c>
      <c r="F24" s="21" t="n">
        <v>40</v>
      </c>
      <c r="G24" s="16" t="s">
        <v>200</v>
      </c>
      <c r="H24" s="13" t="n">
        <f aca="false">IF(G24="","",LEN(G24)-LEN(SUBSTITUTE(G24,"／",""))+1)</f>
        <v>7</v>
      </c>
      <c r="I24" s="25" t="n">
        <v>1500</v>
      </c>
      <c r="J24" s="21" t="n">
        <v>14</v>
      </c>
      <c r="K24" s="21"/>
      <c r="L24" s="14" t="n">
        <f aca="false">IF(OR(I24="",J24=""),"",I24*J24)</f>
        <v>21000</v>
      </c>
      <c r="M24" s="25"/>
      <c r="N24" s="25"/>
      <c r="O24" s="25"/>
      <c r="P24" s="25"/>
      <c r="Q24" s="25"/>
      <c r="R24" s="14" t="n">
        <f aca="false">IF(COUNT(L24:Q24)=0,"",SUM(L24:Q24))</f>
        <v>21000</v>
      </c>
      <c r="S24" s="38" t="n">
        <f aca="false">IFERROR(INDEX(会場マスタ!$C$2:$C$12,MATCH(E24,会場マスタ!$A$2:$A$12,0)),"")</f>
        <v>45000</v>
      </c>
      <c r="T24" s="38" t="n">
        <f aca="false">IF(AI24="","",AI24*ガイド!$C$9)</f>
        <v>12000</v>
      </c>
      <c r="U24" s="38" t="n">
        <f aca="false">ガイド!$C$10</f>
        <v>4000</v>
      </c>
      <c r="V24" s="36" t="n">
        <f aca="false">IF(L24="","",ROUND(L24*ガイド!$C$6,0))</f>
        <v>0</v>
      </c>
      <c r="W24" s="14" t="n">
        <f aca="false">IF(COUNT(S24:V24)=0,"",SUM(S24:V24))</f>
        <v>61000</v>
      </c>
      <c r="X24" s="14" t="n">
        <f aca="false">IF(AND(R24="",W24=""),"",SUM(R24)-SUM(W24))</f>
        <v>-40000</v>
      </c>
      <c r="Y24" s="15" t="n">
        <f aca="false">IFERROR(X24/R24,"")</f>
        <v>-1.9047619047619</v>
      </c>
      <c r="Z24" s="14" t="n">
        <f aca="false">IFERROR(R24/J24,"")</f>
        <v>1500</v>
      </c>
      <c r="AA24" s="15" t="n">
        <f aca="false">IF(OR(J24="",F24=""),"",IFERROR(J24/F24,""))</f>
        <v>0.35</v>
      </c>
      <c r="AB24" s="15" t="n">
        <f aca="false">IFERROR((J24-K24)/J24,"")</f>
        <v>1</v>
      </c>
      <c r="AC24" s="13" t="n">
        <f aca="false">IFERROR(ROUNDUP(W24/I24,0),"")</f>
        <v>41</v>
      </c>
      <c r="AD24" s="37" t="s">
        <v>180</v>
      </c>
      <c r="AI24" s="21" t="n">
        <v>3</v>
      </c>
    </row>
    <row r="25" customFormat="false" ht="15" hidden="false" customHeight="false" outlineLevel="0" collapsed="false">
      <c r="A25" s="12" t="s">
        <v>201</v>
      </c>
      <c r="B25" s="12" t="s">
        <v>202</v>
      </c>
      <c r="C25" s="35" t="n">
        <v>45803</v>
      </c>
      <c r="D25" s="16" t="s">
        <v>32</v>
      </c>
      <c r="E25" s="26" t="s">
        <v>102</v>
      </c>
      <c r="F25" s="21" t="n">
        <v>45</v>
      </c>
      <c r="G25" s="16" t="s">
        <v>203</v>
      </c>
      <c r="H25" s="13" t="n">
        <f aca="false">IF(G25="","",LEN(G25)-LEN(SUBSTITUTE(G25,"／",""))+1)</f>
        <v>7</v>
      </c>
      <c r="I25" s="25" t="n">
        <v>1500</v>
      </c>
      <c r="J25" s="21" t="n">
        <v>27</v>
      </c>
      <c r="K25" s="21"/>
      <c r="L25" s="14" t="n">
        <f aca="false">IF(OR(I25="",J25=""),"",I25*J25)</f>
        <v>40500</v>
      </c>
      <c r="M25" s="25"/>
      <c r="N25" s="25"/>
      <c r="O25" s="25"/>
      <c r="P25" s="25"/>
      <c r="Q25" s="25"/>
      <c r="R25" s="14" t="n">
        <f aca="false">IF(COUNT(L25:Q25)=0,"",SUM(L25:Q25))</f>
        <v>40500</v>
      </c>
      <c r="S25" s="38" t="n">
        <f aca="false">IFERROR(INDEX(会場マスタ!$C$2:$C$12,MATCH(E25,会場マスタ!$A$2:$A$12,0)),"")</f>
        <v>45000</v>
      </c>
      <c r="T25" s="38" t="n">
        <f aca="false">IF(AI25="","",AI25*ガイド!$C$9)</f>
        <v>12000</v>
      </c>
      <c r="U25" s="38" t="n">
        <f aca="false">ガイド!$C$10</f>
        <v>4000</v>
      </c>
      <c r="V25" s="36" t="n">
        <f aca="false">IF(L25="","",ROUND(L25*ガイド!$C$6,0))</f>
        <v>0</v>
      </c>
      <c r="W25" s="14" t="n">
        <f aca="false">IF(COUNT(S25:V25)=0,"",SUM(S25:V25))</f>
        <v>61000</v>
      </c>
      <c r="X25" s="14" t="n">
        <f aca="false">IF(AND(R25="",W25=""),"",SUM(R25)-SUM(W25))</f>
        <v>-20500</v>
      </c>
      <c r="Y25" s="15" t="n">
        <f aca="false">IFERROR(X25/R25,"")</f>
        <v>-0.506172839506173</v>
      </c>
      <c r="Z25" s="14" t="n">
        <f aca="false">IFERROR(R25/J25,"")</f>
        <v>1500</v>
      </c>
      <c r="AA25" s="15" t="n">
        <f aca="false">IF(OR(J25="",F25=""),"",IFERROR(J25/F25,""))</f>
        <v>0.6</v>
      </c>
      <c r="AB25" s="15" t="n">
        <f aca="false">IFERROR((J25-K25)/J25,"")</f>
        <v>1</v>
      </c>
      <c r="AC25" s="13" t="n">
        <f aca="false">IFERROR(ROUNDUP(W25/I25,0),"")</f>
        <v>41</v>
      </c>
      <c r="AD25" s="37" t="s">
        <v>180</v>
      </c>
      <c r="AI25" s="21" t="n">
        <v>3</v>
      </c>
    </row>
    <row r="26" customFormat="false" ht="15" hidden="false" customHeight="false" outlineLevel="0" collapsed="false">
      <c r="A26" s="12" t="s">
        <v>204</v>
      </c>
      <c r="B26" s="12" t="s">
        <v>205</v>
      </c>
      <c r="C26" s="35" t="n">
        <v>45838</v>
      </c>
      <c r="D26" s="16" t="s">
        <v>32</v>
      </c>
      <c r="E26" s="26" t="s">
        <v>102</v>
      </c>
      <c r="F26" s="21" t="n">
        <v>45</v>
      </c>
      <c r="G26" s="16" t="s">
        <v>206</v>
      </c>
      <c r="H26" s="13" t="n">
        <f aca="false">IF(G26="","",LEN(G26)-LEN(SUBSTITUTE(G26,"／",""))+1)</f>
        <v>6</v>
      </c>
      <c r="I26" s="25" t="n">
        <v>1500</v>
      </c>
      <c r="J26" s="21" t="n">
        <v>18</v>
      </c>
      <c r="K26" s="21"/>
      <c r="L26" s="14" t="n">
        <f aca="false">IF(OR(I26="",J26=""),"",I26*J26)</f>
        <v>27000</v>
      </c>
      <c r="M26" s="25"/>
      <c r="N26" s="25"/>
      <c r="O26" s="25"/>
      <c r="P26" s="25"/>
      <c r="Q26" s="25"/>
      <c r="R26" s="14" t="n">
        <f aca="false">IF(COUNT(L26:Q26)=0,"",SUM(L26:Q26))</f>
        <v>27000</v>
      </c>
      <c r="S26" s="38" t="n">
        <f aca="false">IFERROR(INDEX(会場マスタ!$C$2:$C$12,MATCH(E26,会場マスタ!$A$2:$A$12,0)),"")</f>
        <v>45000</v>
      </c>
      <c r="T26" s="38" t="n">
        <f aca="false">IF(AI26="","",AI26*ガイド!$C$9)</f>
        <v>8000</v>
      </c>
      <c r="U26" s="38" t="n">
        <f aca="false">ガイド!$C$10</f>
        <v>4000</v>
      </c>
      <c r="V26" s="36" t="n">
        <f aca="false">IF(L26="","",ROUND(L26*ガイド!$C$6,0))</f>
        <v>0</v>
      </c>
      <c r="W26" s="14" t="n">
        <f aca="false">IF(COUNT(S26:V26)=0,"",SUM(S26:V26))</f>
        <v>57000</v>
      </c>
      <c r="X26" s="14" t="n">
        <f aca="false">IF(AND(R26="",W26=""),"",SUM(R26)-SUM(W26))</f>
        <v>-30000</v>
      </c>
      <c r="Y26" s="15" t="n">
        <f aca="false">IFERROR(X26/R26,"")</f>
        <v>-1.11111111111111</v>
      </c>
      <c r="Z26" s="14" t="n">
        <f aca="false">IFERROR(R26/J26,"")</f>
        <v>1500</v>
      </c>
      <c r="AA26" s="15" t="n">
        <f aca="false">IF(OR(J26="",F26=""),"",IFERROR(J26/F26,""))</f>
        <v>0.4</v>
      </c>
      <c r="AB26" s="15" t="n">
        <f aca="false">IFERROR((J26-K26)/J26,"")</f>
        <v>1</v>
      </c>
      <c r="AC26" s="13" t="n">
        <f aca="false">IFERROR(ROUNDUP(W26/I26,0),"")</f>
        <v>38</v>
      </c>
      <c r="AD26" s="37" t="s">
        <v>180</v>
      </c>
      <c r="AI26" s="21" t="n">
        <v>2</v>
      </c>
    </row>
    <row r="27" customFormat="false" ht="15" hidden="false" customHeight="false" outlineLevel="0" collapsed="false">
      <c r="A27" s="12" t="s">
        <v>207</v>
      </c>
      <c r="B27" s="12" t="s">
        <v>208</v>
      </c>
      <c r="C27" s="35" t="n">
        <v>45862</v>
      </c>
      <c r="D27" s="16" t="s">
        <v>35</v>
      </c>
      <c r="E27" s="26" t="s">
        <v>102</v>
      </c>
      <c r="F27" s="21" t="n">
        <v>50</v>
      </c>
      <c r="G27" s="16" t="s">
        <v>209</v>
      </c>
      <c r="H27" s="13" t="n">
        <f aca="false">IF(G27="","",LEN(G27)-LEN(SUBSTITUTE(G27,"／",""))+1)</f>
        <v>6</v>
      </c>
      <c r="I27" s="25" t="n">
        <v>1500</v>
      </c>
      <c r="J27" s="21" t="n">
        <v>27</v>
      </c>
      <c r="K27" s="21"/>
      <c r="L27" s="14" t="n">
        <f aca="false">IF(OR(I27="",J27=""),"",I27*J27)</f>
        <v>40500</v>
      </c>
      <c r="M27" s="25"/>
      <c r="N27" s="25"/>
      <c r="O27" s="25"/>
      <c r="P27" s="25"/>
      <c r="Q27" s="25"/>
      <c r="R27" s="14" t="n">
        <f aca="false">IF(COUNT(L27:Q27)=0,"",SUM(L27:Q27))</f>
        <v>40500</v>
      </c>
      <c r="S27" s="38" t="n">
        <f aca="false">IFERROR(INDEX(会場マスタ!$C$2:$C$12,MATCH(E27,会場マスタ!$A$2:$A$12,0)),"")</f>
        <v>45000</v>
      </c>
      <c r="T27" s="38" t="n">
        <f aca="false">IF(AI27="","",AI27*ガイド!$C$9)</f>
        <v>8000</v>
      </c>
      <c r="U27" s="38" t="n">
        <f aca="false">ガイド!$C$10</f>
        <v>4000</v>
      </c>
      <c r="V27" s="36" t="n">
        <f aca="false">IF(L27="","",ROUND(L27*ガイド!$C$6,0))</f>
        <v>0</v>
      </c>
      <c r="W27" s="14" t="n">
        <f aca="false">IF(COUNT(S27:V27)=0,"",SUM(S27:V27))</f>
        <v>57000</v>
      </c>
      <c r="X27" s="14" t="n">
        <f aca="false">IF(AND(R27="",W27=""),"",SUM(R27)-SUM(W27))</f>
        <v>-16500</v>
      </c>
      <c r="Y27" s="15" t="n">
        <f aca="false">IFERROR(X27/R27,"")</f>
        <v>-0.407407407407407</v>
      </c>
      <c r="Z27" s="14" t="n">
        <f aca="false">IFERROR(R27/J27,"")</f>
        <v>1500</v>
      </c>
      <c r="AA27" s="15" t="n">
        <f aca="false">IF(OR(J27="",F27=""),"",IFERROR(J27/F27,""))</f>
        <v>0.54</v>
      </c>
      <c r="AB27" s="15" t="n">
        <f aca="false">IFERROR((J27-K27)/J27,"")</f>
        <v>1</v>
      </c>
      <c r="AC27" s="13" t="n">
        <f aca="false">IFERROR(ROUNDUP(W27/I27,0),"")</f>
        <v>38</v>
      </c>
      <c r="AD27" s="37" t="s">
        <v>180</v>
      </c>
      <c r="AI27" s="21" t="n">
        <v>2</v>
      </c>
    </row>
    <row r="28" customFormat="false" ht="15" hidden="false" customHeight="false" outlineLevel="0" collapsed="false">
      <c r="A28" s="12" t="s">
        <v>210</v>
      </c>
      <c r="B28" s="12" t="s">
        <v>211</v>
      </c>
      <c r="C28" s="35" t="n">
        <v>45894</v>
      </c>
      <c r="D28" s="16" t="s">
        <v>32</v>
      </c>
      <c r="E28" s="26" t="s">
        <v>104</v>
      </c>
      <c r="F28" s="21" t="n">
        <v>45</v>
      </c>
      <c r="G28" s="16" t="s">
        <v>212</v>
      </c>
      <c r="H28" s="13" t="n">
        <f aca="false">IF(G28="","",LEN(G28)-LEN(SUBSTITUTE(G28,"／",""))+1)</f>
        <v>6</v>
      </c>
      <c r="I28" s="25" t="n">
        <v>1500</v>
      </c>
      <c r="J28" s="21" t="n">
        <v>34</v>
      </c>
      <c r="K28" s="21"/>
      <c r="L28" s="25" t="n">
        <v>41500</v>
      </c>
      <c r="M28" s="25"/>
      <c r="N28" s="25"/>
      <c r="O28" s="25"/>
      <c r="P28" s="25"/>
      <c r="Q28" s="25"/>
      <c r="R28" s="14" t="n">
        <f aca="false">IF(COUNT(L28:Q28)=0,"",SUM(L28:Q28))</f>
        <v>41500</v>
      </c>
      <c r="S28" s="25" t="n">
        <v>30000</v>
      </c>
      <c r="T28" s="25" t="n">
        <v>12800</v>
      </c>
      <c r="U28" s="25" t="n">
        <v>3000</v>
      </c>
      <c r="V28" s="36" t="n">
        <f aca="false">IF(L28="","",ROUND(L28*ガイド!$C$6,0))</f>
        <v>0</v>
      </c>
      <c r="W28" s="14" t="n">
        <f aca="false">IF(COUNT(S28:V28)=0,"",SUM(S28:V28))</f>
        <v>45800</v>
      </c>
      <c r="X28" s="14" t="n">
        <f aca="false">IF(AND(R28="",W28=""),"",SUM(R28)-SUM(W28))</f>
        <v>-4300</v>
      </c>
      <c r="Y28" s="15" t="n">
        <f aca="false">IFERROR(X28/R28,"")</f>
        <v>-0.103614457831325</v>
      </c>
      <c r="Z28" s="14" t="n">
        <f aca="false">IFERROR(R28/J28,"")</f>
        <v>1220.58823529412</v>
      </c>
      <c r="AA28" s="15" t="n">
        <f aca="false">IF(OR(J28="",F28=""),"",IFERROR(J28/F28,""))</f>
        <v>0.755555555555556</v>
      </c>
      <c r="AB28" s="15" t="n">
        <f aca="false">IFERROR((J28-K28)/J28,"")</f>
        <v>1</v>
      </c>
      <c r="AC28" s="13" t="n">
        <f aca="false">IFERROR(ROUNDUP(W28/I28,0),"")</f>
        <v>31</v>
      </c>
      <c r="AD28" s="37" t="s">
        <v>180</v>
      </c>
      <c r="AI28" s="21" t="n">
        <v>2</v>
      </c>
    </row>
    <row r="29" customFormat="false" ht="15" hidden="false" customHeight="false" outlineLevel="0" collapsed="false">
      <c r="A29" s="12" t="s">
        <v>213</v>
      </c>
      <c r="B29" s="12" t="s">
        <v>214</v>
      </c>
      <c r="C29" s="35" t="n">
        <v>45929</v>
      </c>
      <c r="D29" s="16" t="s">
        <v>32</v>
      </c>
      <c r="E29" s="26" t="s">
        <v>104</v>
      </c>
      <c r="F29" s="21" t="n">
        <v>45</v>
      </c>
      <c r="G29" s="16" t="s">
        <v>215</v>
      </c>
      <c r="H29" s="13" t="n">
        <f aca="false">IF(G29="","",LEN(G29)-LEN(SUBSTITUTE(G29,"／",""))+1)</f>
        <v>6</v>
      </c>
      <c r="I29" s="25" t="n">
        <v>1500</v>
      </c>
      <c r="J29" s="21" t="n">
        <v>20</v>
      </c>
      <c r="K29" s="21"/>
      <c r="L29" s="25" t="n">
        <v>24000</v>
      </c>
      <c r="M29" s="25"/>
      <c r="N29" s="25"/>
      <c r="O29" s="25"/>
      <c r="P29" s="25"/>
      <c r="Q29" s="25"/>
      <c r="R29" s="14" t="n">
        <f aca="false">IF(COUNT(L29:Q29)=0,"",SUM(L29:Q29))</f>
        <v>24000</v>
      </c>
      <c r="S29" s="25" t="n">
        <v>30000</v>
      </c>
      <c r="T29" s="25" t="n">
        <v>10600</v>
      </c>
      <c r="U29" s="25" t="n">
        <v>3000</v>
      </c>
      <c r="V29" s="36" t="n">
        <f aca="false">IF(L29="","",ROUND(L29*ガイド!$C$6,0))</f>
        <v>0</v>
      </c>
      <c r="W29" s="14" t="n">
        <f aca="false">IF(COUNT(S29:V29)=0,"",SUM(S29:V29))</f>
        <v>43600</v>
      </c>
      <c r="X29" s="14" t="n">
        <f aca="false">IF(AND(R29="",W29=""),"",SUM(R29)-SUM(W29))</f>
        <v>-19600</v>
      </c>
      <c r="Y29" s="15" t="n">
        <f aca="false">IFERROR(X29/R29,"")</f>
        <v>-0.816666666666667</v>
      </c>
      <c r="Z29" s="14" t="n">
        <f aca="false">IFERROR(R29/J29,"")</f>
        <v>1200</v>
      </c>
      <c r="AA29" s="15" t="n">
        <f aca="false">IF(OR(J29="",F29=""),"",IFERROR(J29/F29,""))</f>
        <v>0.444444444444444</v>
      </c>
      <c r="AB29" s="15" t="n">
        <f aca="false">IFERROR((J29-K29)/J29,"")</f>
        <v>1</v>
      </c>
      <c r="AC29" s="13" t="n">
        <f aca="false">IFERROR(ROUNDUP(W29/I29,0),"")</f>
        <v>30</v>
      </c>
      <c r="AD29" s="26" t="s">
        <v>216</v>
      </c>
      <c r="AI29" s="21" t="n">
        <v>2</v>
      </c>
    </row>
    <row r="30" customFormat="false" ht="15" hidden="false" customHeight="false" outlineLevel="0" collapsed="false">
      <c r="A30" s="12" t="s">
        <v>217</v>
      </c>
      <c r="B30" s="12" t="s">
        <v>218</v>
      </c>
      <c r="C30" s="35" t="n">
        <v>45961</v>
      </c>
      <c r="D30" s="16" t="s">
        <v>36</v>
      </c>
      <c r="E30" s="26" t="s">
        <v>102</v>
      </c>
      <c r="F30" s="21" t="n">
        <v>50</v>
      </c>
      <c r="G30" s="16" t="s">
        <v>219</v>
      </c>
      <c r="H30" s="13" t="n">
        <f aca="false">IF(G30="","",LEN(G30)-LEN(SUBSTITUTE(G30,"／",""))+1)</f>
        <v>6</v>
      </c>
      <c r="I30" s="25" t="n">
        <v>1500</v>
      </c>
      <c r="J30" s="21" t="n">
        <v>35</v>
      </c>
      <c r="K30" s="21"/>
      <c r="L30" s="14" t="n">
        <f aca="false">IF(OR(I30="",J30=""),"",I30*J30)</f>
        <v>52500</v>
      </c>
      <c r="M30" s="25"/>
      <c r="N30" s="25"/>
      <c r="O30" s="25"/>
      <c r="P30" s="25"/>
      <c r="Q30" s="25"/>
      <c r="R30" s="14" t="n">
        <f aca="false">IF(COUNT(L30:Q30)=0,"",SUM(L30:Q30))</f>
        <v>52500</v>
      </c>
      <c r="S30" s="38" t="n">
        <f aca="false">IFERROR(INDEX(会場マスタ!$C$2:$C$12,MATCH(E30,会場マスタ!$A$2:$A$12,0)),"")</f>
        <v>45000</v>
      </c>
      <c r="T30" s="38" t="n">
        <f aca="false">IF(AI30="","",AI30*ガイド!$C$9)</f>
        <v>8000</v>
      </c>
      <c r="U30" s="38" t="n">
        <f aca="false">ガイド!$C$10</f>
        <v>4000</v>
      </c>
      <c r="V30" s="36" t="n">
        <f aca="false">IF(L30="","",ROUND(L30*ガイド!$C$6,0))</f>
        <v>0</v>
      </c>
      <c r="W30" s="14" t="n">
        <f aca="false">IF(COUNT(S30:V30)=0,"",SUM(S30:V30))</f>
        <v>57000</v>
      </c>
      <c r="X30" s="14" t="n">
        <f aca="false">IF(AND(R30="",W30=""),"",SUM(R30)-SUM(W30))</f>
        <v>-4500</v>
      </c>
      <c r="Y30" s="15" t="n">
        <f aca="false">IFERROR(X30/R30,"")</f>
        <v>-0.0857142857142857</v>
      </c>
      <c r="Z30" s="14" t="n">
        <f aca="false">IFERROR(R30/J30,"")</f>
        <v>1500</v>
      </c>
      <c r="AA30" s="15" t="n">
        <f aca="false">IF(OR(J30="",F30=""),"",IFERROR(J30/F30,""))</f>
        <v>0.7</v>
      </c>
      <c r="AB30" s="15" t="n">
        <f aca="false">IFERROR((J30-K30)/J30,"")</f>
        <v>1</v>
      </c>
      <c r="AC30" s="13" t="n">
        <f aca="false">IFERROR(ROUNDUP(W30/I30,0),"")</f>
        <v>38</v>
      </c>
      <c r="AD30" s="37" t="s">
        <v>180</v>
      </c>
      <c r="AI30" s="21" t="n">
        <v>2</v>
      </c>
    </row>
    <row r="31" customFormat="false" ht="15" hidden="false" customHeight="false" outlineLevel="0" collapsed="false">
      <c r="A31" s="12" t="s">
        <v>220</v>
      </c>
      <c r="B31" s="12" t="s">
        <v>221</v>
      </c>
      <c r="C31" s="35" t="n">
        <v>45982</v>
      </c>
      <c r="D31" s="16" t="s">
        <v>36</v>
      </c>
      <c r="E31" s="26" t="s">
        <v>102</v>
      </c>
      <c r="F31" s="21" t="n">
        <v>50</v>
      </c>
      <c r="G31" s="16" t="s">
        <v>222</v>
      </c>
      <c r="H31" s="13" t="n">
        <f aca="false">IF(G31="","",LEN(G31)-LEN(SUBSTITUTE(G31,"／",""))+1)</f>
        <v>6</v>
      </c>
      <c r="I31" s="25" t="n">
        <v>1500</v>
      </c>
      <c r="J31" s="21" t="n">
        <v>33</v>
      </c>
      <c r="K31" s="21"/>
      <c r="L31" s="14" t="n">
        <f aca="false">IF(OR(I31="",J31=""),"",I31*J31)</f>
        <v>49500</v>
      </c>
      <c r="M31" s="25"/>
      <c r="N31" s="25"/>
      <c r="O31" s="25"/>
      <c r="P31" s="25"/>
      <c r="Q31" s="25"/>
      <c r="R31" s="14" t="n">
        <f aca="false">IF(COUNT(L31:Q31)=0,"",SUM(L31:Q31))</f>
        <v>49500</v>
      </c>
      <c r="S31" s="38" t="n">
        <f aca="false">IFERROR(INDEX(会場マスタ!$C$2:$C$12,MATCH(E31,会場マスタ!$A$2:$A$12,0)),"")</f>
        <v>45000</v>
      </c>
      <c r="T31" s="38" t="n">
        <f aca="false">IF(AI31="","",AI31*ガイド!$C$9)</f>
        <v>8000</v>
      </c>
      <c r="U31" s="38" t="n">
        <f aca="false">ガイド!$C$10</f>
        <v>4000</v>
      </c>
      <c r="V31" s="36" t="n">
        <f aca="false">IF(L31="","",ROUND(L31*ガイド!$C$6,0))</f>
        <v>0</v>
      </c>
      <c r="W31" s="14" t="n">
        <f aca="false">IF(COUNT(S31:V31)=0,"",SUM(S31:V31))</f>
        <v>57000</v>
      </c>
      <c r="X31" s="14" t="n">
        <f aca="false">IF(AND(R31="",W31=""),"",SUM(R31)-SUM(W31))</f>
        <v>-7500</v>
      </c>
      <c r="Y31" s="15" t="n">
        <f aca="false">IFERROR(X31/R31,"")</f>
        <v>-0.151515151515152</v>
      </c>
      <c r="Z31" s="14" t="n">
        <f aca="false">IFERROR(R31/J31,"")</f>
        <v>1500</v>
      </c>
      <c r="AA31" s="15" t="n">
        <f aca="false">IF(OR(J31="",F31=""),"",IFERROR(J31/F31,""))</f>
        <v>0.66</v>
      </c>
      <c r="AB31" s="15" t="n">
        <f aca="false">IFERROR((J31-K31)/J31,"")</f>
        <v>1</v>
      </c>
      <c r="AC31" s="13" t="n">
        <f aca="false">IFERROR(ROUNDUP(W31/I31,0),"")</f>
        <v>38</v>
      </c>
      <c r="AD31" s="26" t="s">
        <v>223</v>
      </c>
      <c r="AI31" s="21" t="n">
        <v>2</v>
      </c>
    </row>
    <row r="32" customFormat="false" ht="15" hidden="false" customHeight="false" outlineLevel="0" collapsed="false">
      <c r="A32" s="12" t="s">
        <v>224</v>
      </c>
      <c r="B32" s="12" t="s">
        <v>225</v>
      </c>
      <c r="C32" s="35" t="n">
        <v>46014</v>
      </c>
      <c r="D32" s="16" t="s">
        <v>33</v>
      </c>
      <c r="E32" s="26" t="s">
        <v>102</v>
      </c>
      <c r="F32" s="21" t="n">
        <v>45</v>
      </c>
      <c r="G32" s="16" t="s">
        <v>226</v>
      </c>
      <c r="H32" s="13" t="n">
        <f aca="false">IF(G32="","",LEN(G32)-LEN(SUBSTITUTE(G32,"／",""))+1)</f>
        <v>6</v>
      </c>
      <c r="I32" s="25" t="n">
        <v>1500</v>
      </c>
      <c r="J32" s="21" t="n">
        <v>29</v>
      </c>
      <c r="K32" s="21"/>
      <c r="L32" s="14" t="n">
        <f aca="false">IF(OR(I32="",J32=""),"",I32*J32)</f>
        <v>43500</v>
      </c>
      <c r="M32" s="25"/>
      <c r="N32" s="25"/>
      <c r="O32" s="25"/>
      <c r="P32" s="25"/>
      <c r="Q32" s="25"/>
      <c r="R32" s="14" t="n">
        <f aca="false">IF(COUNT(L32:Q32)=0,"",SUM(L32:Q32))</f>
        <v>43500</v>
      </c>
      <c r="S32" s="38" t="n">
        <f aca="false">IFERROR(INDEX(会場マスタ!$C$2:$C$12,MATCH(E32,会場マスタ!$A$2:$A$12,0)),"")</f>
        <v>45000</v>
      </c>
      <c r="T32" s="38" t="n">
        <f aca="false">IF(AI32="","",AI32*ガイド!$C$9)</f>
        <v>8000</v>
      </c>
      <c r="U32" s="38" t="n">
        <f aca="false">ガイド!$C$10</f>
        <v>4000</v>
      </c>
      <c r="V32" s="36" t="n">
        <f aca="false">IF(L32="","",ROUND(L32*ガイド!$C$6,0))</f>
        <v>0</v>
      </c>
      <c r="W32" s="14" t="n">
        <f aca="false">IF(COUNT(S32:V32)=0,"",SUM(S32:V32))</f>
        <v>57000</v>
      </c>
      <c r="X32" s="14" t="n">
        <f aca="false">IF(AND(R32="",W32=""),"",SUM(R32)-SUM(W32))</f>
        <v>-13500</v>
      </c>
      <c r="Y32" s="15" t="n">
        <f aca="false">IFERROR(X32/R32,"")</f>
        <v>-0.310344827586207</v>
      </c>
      <c r="Z32" s="14" t="n">
        <f aca="false">IFERROR(R32/J32,"")</f>
        <v>1500</v>
      </c>
      <c r="AA32" s="15" t="n">
        <f aca="false">IF(OR(J32="",F32=""),"",IFERROR(J32/F32,""))</f>
        <v>0.644444444444445</v>
      </c>
      <c r="AB32" s="15" t="n">
        <f aca="false">IFERROR((J32-K32)/J32,"")</f>
        <v>1</v>
      </c>
      <c r="AC32" s="13" t="n">
        <f aca="false">IFERROR(ROUNDUP(W32/I32,0),"")</f>
        <v>38</v>
      </c>
      <c r="AD32" s="26" t="s">
        <v>223</v>
      </c>
      <c r="AI32" s="21" t="n">
        <v>2</v>
      </c>
    </row>
    <row r="33" customFormat="false" ht="15" hidden="false" customHeight="false" outlineLevel="0" collapsed="false">
      <c r="A33" s="12" t="s">
        <v>227</v>
      </c>
      <c r="B33" s="12" t="s">
        <v>228</v>
      </c>
      <c r="C33" s="35" t="n">
        <v>46048</v>
      </c>
      <c r="D33" s="16" t="s">
        <v>32</v>
      </c>
      <c r="E33" s="26" t="s">
        <v>102</v>
      </c>
      <c r="F33" s="21" t="n">
        <v>60</v>
      </c>
      <c r="G33" s="16" t="s">
        <v>226</v>
      </c>
      <c r="H33" s="13" t="n">
        <f aca="false">IF(G33="","",LEN(G33)-LEN(SUBSTITUTE(G33,"／",""))+1)</f>
        <v>6</v>
      </c>
      <c r="I33" s="25" t="n">
        <v>1500</v>
      </c>
      <c r="J33" s="21" t="n">
        <v>44</v>
      </c>
      <c r="K33" s="21"/>
      <c r="L33" s="14" t="n">
        <f aca="false">IF(OR(I33="",J33=""),"",I33*J33)</f>
        <v>66000</v>
      </c>
      <c r="M33" s="25"/>
      <c r="N33" s="25"/>
      <c r="O33" s="25"/>
      <c r="P33" s="25"/>
      <c r="Q33" s="25"/>
      <c r="R33" s="14" t="n">
        <f aca="false">IF(COUNT(L33:Q33)=0,"",SUM(L33:Q33))</f>
        <v>66000</v>
      </c>
      <c r="S33" s="38" t="n">
        <f aca="false">IFERROR(INDEX(会場マスタ!$C$2:$C$12,MATCH(E33,会場マスタ!$A$2:$A$12,0)),"")</f>
        <v>45000</v>
      </c>
      <c r="T33" s="38" t="n">
        <f aca="false">IF(AI33="","",AI33*ガイド!$C$9)</f>
        <v>8000</v>
      </c>
      <c r="U33" s="38" t="n">
        <f aca="false">ガイド!$C$10</f>
        <v>4000</v>
      </c>
      <c r="V33" s="36" t="n">
        <f aca="false">IF(L33="","",ROUND(L33*ガイド!$C$6,0))</f>
        <v>0</v>
      </c>
      <c r="W33" s="14" t="n">
        <f aca="false">IF(COUNT(S33:V33)=0,"",SUM(S33:V33))</f>
        <v>57000</v>
      </c>
      <c r="X33" s="14" t="n">
        <f aca="false">IF(AND(R33="",W33=""),"",SUM(R33)-SUM(W33))</f>
        <v>9000</v>
      </c>
      <c r="Y33" s="15" t="n">
        <f aca="false">IFERROR(X33/R33,"")</f>
        <v>0.136363636363636</v>
      </c>
      <c r="Z33" s="14" t="n">
        <f aca="false">IFERROR(R33/J33,"")</f>
        <v>1500</v>
      </c>
      <c r="AA33" s="15" t="n">
        <f aca="false">IF(OR(J33="",F33=""),"",IFERROR(J33/F33,""))</f>
        <v>0.733333333333333</v>
      </c>
      <c r="AB33" s="15" t="n">
        <f aca="false">IFERROR((J33-K33)/J33,"")</f>
        <v>1</v>
      </c>
      <c r="AC33" s="13" t="n">
        <f aca="false">IFERROR(ROUNDUP(W33/I33,0),"")</f>
        <v>38</v>
      </c>
      <c r="AD33" s="37" t="s">
        <v>180</v>
      </c>
      <c r="AI33" s="21" t="n">
        <v>2</v>
      </c>
    </row>
    <row r="34" customFormat="false" ht="15" hidden="false" customHeight="false" outlineLevel="0" collapsed="false">
      <c r="A34" s="12" t="s">
        <v>229</v>
      </c>
      <c r="B34" s="12" t="s">
        <v>230</v>
      </c>
      <c r="C34" s="35" t="n">
        <v>46073</v>
      </c>
      <c r="D34" s="16" t="s">
        <v>36</v>
      </c>
      <c r="E34" s="26" t="s">
        <v>102</v>
      </c>
      <c r="F34" s="21" t="n">
        <v>50</v>
      </c>
      <c r="G34" s="16" t="s">
        <v>231</v>
      </c>
      <c r="H34" s="13" t="n">
        <f aca="false">IF(G34="","",LEN(G34)-LEN(SUBSTITUTE(G34,"／",""))+1)</f>
        <v>5</v>
      </c>
      <c r="I34" s="25" t="n">
        <v>1500</v>
      </c>
      <c r="J34" s="21" t="n">
        <v>21</v>
      </c>
      <c r="K34" s="21"/>
      <c r="L34" s="14" t="n">
        <f aca="false">IF(OR(I34="",J34=""),"",I34*J34)</f>
        <v>31500</v>
      </c>
      <c r="M34" s="25"/>
      <c r="N34" s="25"/>
      <c r="O34" s="25"/>
      <c r="P34" s="25"/>
      <c r="Q34" s="25"/>
      <c r="R34" s="14" t="n">
        <f aca="false">IF(COUNT(L34:Q34)=0,"",SUM(L34:Q34))</f>
        <v>31500</v>
      </c>
      <c r="S34" s="38" t="n">
        <f aca="false">IFERROR(INDEX(会場マスタ!$C$2:$C$12,MATCH(E34,会場マスタ!$A$2:$A$12,0)),"")</f>
        <v>45000</v>
      </c>
      <c r="T34" s="38" t="n">
        <f aca="false">IF(AI34="","",AI34*ガイド!$C$9)</f>
        <v>8000</v>
      </c>
      <c r="U34" s="38" t="n">
        <f aca="false">ガイド!$C$10</f>
        <v>4000</v>
      </c>
      <c r="V34" s="36" t="n">
        <f aca="false">IF(L34="","",ROUND(L34*ガイド!$C$6,0))</f>
        <v>0</v>
      </c>
      <c r="W34" s="14" t="n">
        <f aca="false">IF(COUNT(S34:V34)=0,"",SUM(S34:V34))</f>
        <v>57000</v>
      </c>
      <c r="X34" s="14" t="n">
        <f aca="false">IF(AND(R34="",W34=""),"",SUM(R34)-SUM(W34))</f>
        <v>-25500</v>
      </c>
      <c r="Y34" s="15" t="n">
        <f aca="false">IFERROR(X34/R34,"")</f>
        <v>-0.80952380952381</v>
      </c>
      <c r="Z34" s="14" t="n">
        <f aca="false">IFERROR(R34/J34,"")</f>
        <v>1500</v>
      </c>
      <c r="AA34" s="15" t="n">
        <f aca="false">IF(OR(J34="",F34=""),"",IFERROR(J34/F34,""))</f>
        <v>0.42</v>
      </c>
      <c r="AB34" s="15" t="n">
        <f aca="false">IFERROR((J34-K34)/J34,"")</f>
        <v>1</v>
      </c>
      <c r="AC34" s="13" t="n">
        <f aca="false">IFERROR(ROUNDUP(W34/I34,0),"")</f>
        <v>38</v>
      </c>
      <c r="AD34" s="37" t="s">
        <v>180</v>
      </c>
      <c r="AI34" s="21" t="n">
        <v>2</v>
      </c>
    </row>
    <row r="35" customFormat="false" ht="15" hidden="false" customHeight="false" outlineLevel="0" collapsed="false">
      <c r="A35" s="12" t="s">
        <v>232</v>
      </c>
      <c r="B35" s="12" t="s">
        <v>233</v>
      </c>
      <c r="C35" s="35" t="n">
        <v>46096</v>
      </c>
      <c r="D35" s="16" t="s">
        <v>38</v>
      </c>
      <c r="E35" s="26" t="s">
        <v>102</v>
      </c>
      <c r="F35" s="21"/>
      <c r="G35" s="16" t="s">
        <v>234</v>
      </c>
      <c r="H35" s="13" t="n">
        <f aca="false">IF(G35="","",LEN(G35)-LEN(SUBSTITUTE(G35,"／",""))+1)</f>
        <v>5</v>
      </c>
      <c r="I35" s="25" t="n">
        <v>2500</v>
      </c>
      <c r="J35" s="21" t="n">
        <v>74</v>
      </c>
      <c r="K35" s="21"/>
      <c r="L35" s="14" t="n">
        <f aca="false">IF(OR(I35="",J35=""),"",I35*J35)</f>
        <v>185000</v>
      </c>
      <c r="M35" s="25"/>
      <c r="N35" s="25"/>
      <c r="O35" s="25"/>
      <c r="P35" s="25"/>
      <c r="Q35" s="25"/>
      <c r="R35" s="14" t="n">
        <f aca="false">IF(COUNT(L35:Q35)=0,"",SUM(L35:Q35))</f>
        <v>185000</v>
      </c>
      <c r="S35" s="38" t="n">
        <f aca="false">IFERROR(INDEX(会場マスタ!$C$2:$C$12,MATCH(E35,会場マスタ!$A$2:$A$12,0)),"")</f>
        <v>45000</v>
      </c>
      <c r="T35" s="38" t="n">
        <f aca="false">IF(AI35="","",AI35*ガイド!$C$9)</f>
        <v>4000</v>
      </c>
      <c r="U35" s="38" t="n">
        <f aca="false">ガイド!$C$10</f>
        <v>4000</v>
      </c>
      <c r="V35" s="36" t="n">
        <f aca="false">IF(L35="","",ROUND(L35*ガイド!$C$6,0))</f>
        <v>0</v>
      </c>
      <c r="W35" s="14" t="n">
        <f aca="false">IF(COUNT(S35:V35)=0,"",SUM(S35:V35))</f>
        <v>53000</v>
      </c>
      <c r="X35" s="14" t="n">
        <f aca="false">IF(AND(R35="",W35=""),"",SUM(R35)-SUM(W35))</f>
        <v>132000</v>
      </c>
      <c r="Y35" s="15" t="n">
        <f aca="false">IFERROR(X35/R35,"")</f>
        <v>0.713513513513514</v>
      </c>
      <c r="Z35" s="14" t="n">
        <f aca="false">IFERROR(R35/J35,"")</f>
        <v>2500</v>
      </c>
      <c r="AA35" s="15" t="str">
        <f aca="false">IF(OR(J35="",F35=""),"",IFERROR(J35/F35,""))</f>
        <v/>
      </c>
      <c r="AB35" s="15" t="n">
        <f aca="false">IFERROR((J35-K35)/J35,"")</f>
        <v>1</v>
      </c>
      <c r="AC35" s="13" t="n">
        <f aca="false">IFERROR(ROUNDUP(W35/I35,0),"")</f>
        <v>22</v>
      </c>
      <c r="AD35" s="26" t="s">
        <v>235</v>
      </c>
      <c r="AI35" s="21" t="n">
        <v>1</v>
      </c>
    </row>
    <row r="36" customFormat="false" ht="15" hidden="false" customHeight="false" outlineLevel="0" collapsed="false">
      <c r="A36" s="12" t="s">
        <v>236</v>
      </c>
      <c r="B36" s="12" t="s">
        <v>237</v>
      </c>
      <c r="C36" s="35" t="n">
        <v>46133</v>
      </c>
      <c r="D36" s="16" t="s">
        <v>33</v>
      </c>
      <c r="E36" s="26" t="s">
        <v>102</v>
      </c>
      <c r="F36" s="21" t="n">
        <v>65</v>
      </c>
      <c r="G36" s="16" t="s">
        <v>238</v>
      </c>
      <c r="H36" s="13" t="n">
        <f aca="false">IF(G36="","",LEN(G36)-LEN(SUBSTITUTE(G36,"／",""))+1)</f>
        <v>6</v>
      </c>
      <c r="I36" s="25" t="n">
        <v>1500</v>
      </c>
      <c r="J36" s="21" t="n">
        <v>64</v>
      </c>
      <c r="K36" s="21"/>
      <c r="L36" s="14" t="n">
        <f aca="false">IF(OR(I36="",J36=""),"",I36*J36)</f>
        <v>96000</v>
      </c>
      <c r="M36" s="25"/>
      <c r="N36" s="25"/>
      <c r="O36" s="25"/>
      <c r="P36" s="25"/>
      <c r="Q36" s="25"/>
      <c r="R36" s="14" t="n">
        <f aca="false">IF(COUNT(L36:Q36)=0,"",SUM(L36:Q36))</f>
        <v>96000</v>
      </c>
      <c r="S36" s="38" t="n">
        <f aca="false">IFERROR(INDEX(会場マスタ!$C$2:$C$12,MATCH(E36,会場マスタ!$A$2:$A$12,0)),"")</f>
        <v>45000</v>
      </c>
      <c r="T36" s="38" t="n">
        <f aca="false">IF(AI36="","",AI36*ガイド!$C$9)</f>
        <v>8000</v>
      </c>
      <c r="U36" s="38" t="n">
        <f aca="false">ガイド!$C$10</f>
        <v>4000</v>
      </c>
      <c r="V36" s="36" t="n">
        <f aca="false">IF(L36="","",ROUND(L36*ガイド!$C$6,0))</f>
        <v>0</v>
      </c>
      <c r="W36" s="14" t="n">
        <f aca="false">IF(COUNT(S36:V36)=0,"",SUM(S36:V36))</f>
        <v>57000</v>
      </c>
      <c r="X36" s="14" t="n">
        <f aca="false">IF(AND(R36="",W36=""),"",SUM(R36)-SUM(W36))</f>
        <v>39000</v>
      </c>
      <c r="Y36" s="15" t="n">
        <f aca="false">IFERROR(X36/R36,"")</f>
        <v>0.40625</v>
      </c>
      <c r="Z36" s="14" t="n">
        <f aca="false">IFERROR(R36/J36,"")</f>
        <v>1500</v>
      </c>
      <c r="AA36" s="15" t="n">
        <f aca="false">IF(OR(J36="",F36=""),"",IFERROR(J36/F36,""))</f>
        <v>0.984615384615385</v>
      </c>
      <c r="AB36" s="15" t="n">
        <f aca="false">IFERROR((J36-K36)/J36,"")</f>
        <v>1</v>
      </c>
      <c r="AC36" s="13" t="n">
        <f aca="false">IFERROR(ROUNDUP(W36/I36,0),"")</f>
        <v>38</v>
      </c>
      <c r="AD36" s="26" t="s">
        <v>239</v>
      </c>
      <c r="AI36" s="21" t="n">
        <v>2</v>
      </c>
    </row>
    <row r="37" customFormat="false" ht="15" hidden="false" customHeight="false" outlineLevel="0" collapsed="false">
      <c r="A37" s="12" t="s">
        <v>240</v>
      </c>
      <c r="B37" s="12" t="s">
        <v>241</v>
      </c>
      <c r="C37" s="35" t="n">
        <v>46167</v>
      </c>
      <c r="D37" s="16" t="s">
        <v>32</v>
      </c>
      <c r="E37" s="26" t="s">
        <v>102</v>
      </c>
      <c r="F37" s="21" t="n">
        <v>65</v>
      </c>
      <c r="G37" s="16" t="s">
        <v>242</v>
      </c>
      <c r="H37" s="13" t="n">
        <f aca="false">IF(G37="","",LEN(G37)-LEN(SUBSTITUTE(G37,"／",""))+1)</f>
        <v>7</v>
      </c>
      <c r="I37" s="25" t="n">
        <v>1500</v>
      </c>
      <c r="J37" s="21" t="n">
        <v>28</v>
      </c>
      <c r="K37" s="21"/>
      <c r="L37" s="14" t="n">
        <f aca="false">IF(OR(I37="",J37=""),"",I37*J37)</f>
        <v>42000</v>
      </c>
      <c r="M37" s="25"/>
      <c r="N37" s="25"/>
      <c r="O37" s="25"/>
      <c r="P37" s="25"/>
      <c r="Q37" s="25"/>
      <c r="R37" s="14" t="n">
        <f aca="false">IF(COUNT(L37:Q37)=0,"",SUM(L37:Q37))</f>
        <v>42000</v>
      </c>
      <c r="S37" s="38" t="n">
        <f aca="false">IFERROR(INDEX(会場マスタ!$C$2:$C$12,MATCH(E37,会場マスタ!$A$2:$A$12,0)),"")</f>
        <v>45000</v>
      </c>
      <c r="T37" s="38" t="n">
        <f aca="false">IF(AI37="","",AI37*ガイド!$C$9)</f>
        <v>0</v>
      </c>
      <c r="U37" s="38" t="n">
        <f aca="false">ガイド!$C$10</f>
        <v>4000</v>
      </c>
      <c r="V37" s="36" t="n">
        <f aca="false">IF(L37="","",ROUND(L37*ガイド!$C$6,0))</f>
        <v>0</v>
      </c>
      <c r="W37" s="14" t="n">
        <f aca="false">IF(COUNT(S37:V37)=0,"",SUM(S37:V37))</f>
        <v>49000</v>
      </c>
      <c r="X37" s="14" t="n">
        <f aca="false">IF(AND(R37="",W37=""),"",SUM(R37)-SUM(W37))</f>
        <v>-7000</v>
      </c>
      <c r="Y37" s="15" t="n">
        <f aca="false">IFERROR(X37/R37,"")</f>
        <v>-0.166666666666667</v>
      </c>
      <c r="Z37" s="14" t="n">
        <f aca="false">IFERROR(R37/J37,"")</f>
        <v>1500</v>
      </c>
      <c r="AA37" s="15" t="n">
        <f aca="false">IF(OR(J37="",F37=""),"",IFERROR(J37/F37,""))</f>
        <v>0.430769230769231</v>
      </c>
      <c r="AB37" s="15" t="n">
        <f aca="false">IFERROR((J37-K37)/J37,"")</f>
        <v>1</v>
      </c>
      <c r="AC37" s="13" t="n">
        <f aca="false">IFERROR(ROUNDUP(W37/I37,0),"")</f>
        <v>33</v>
      </c>
      <c r="AD37" s="37" t="s">
        <v>180</v>
      </c>
      <c r="AI37" s="21" t="n">
        <v>0</v>
      </c>
    </row>
    <row r="38" customFormat="false" ht="15" hidden="false" customHeight="false" outlineLevel="0" collapsed="false">
      <c r="A38" s="12" t="s">
        <v>243</v>
      </c>
      <c r="B38" s="12" t="s">
        <v>244</v>
      </c>
      <c r="C38" s="35" t="n">
        <v>46196</v>
      </c>
      <c r="D38" s="16" t="s">
        <v>33</v>
      </c>
      <c r="E38" s="26" t="s">
        <v>102</v>
      </c>
      <c r="F38" s="21" t="n">
        <v>65</v>
      </c>
      <c r="G38" s="16" t="s">
        <v>245</v>
      </c>
      <c r="H38" s="13" t="n">
        <f aca="false">IF(G38="","",LEN(G38)-LEN(SUBSTITUTE(G38,"／",""))+1)</f>
        <v>7</v>
      </c>
      <c r="I38" s="25" t="n">
        <v>1500</v>
      </c>
      <c r="J38" s="21" t="n">
        <v>19</v>
      </c>
      <c r="K38" s="21"/>
      <c r="L38" s="14" t="n">
        <f aca="false">IF(OR(I38="",J38=""),"",I38*J38)</f>
        <v>28500</v>
      </c>
      <c r="M38" s="25"/>
      <c r="N38" s="25"/>
      <c r="O38" s="25"/>
      <c r="P38" s="25"/>
      <c r="Q38" s="25"/>
      <c r="R38" s="14" t="n">
        <f aca="false">IF(COUNT(L38:Q38)=0,"",SUM(L38:Q38))</f>
        <v>28500</v>
      </c>
      <c r="S38" s="38" t="n">
        <f aca="false">IFERROR(INDEX(会場マスタ!$C$2:$C$12,MATCH(E38,会場マスタ!$A$2:$A$12,0)),"")</f>
        <v>45000</v>
      </c>
      <c r="T38" s="38" t="n">
        <f aca="false">IF(AI38="","",AI38*ガイド!$C$9)</f>
        <v>0</v>
      </c>
      <c r="U38" s="38" t="n">
        <f aca="false">ガイド!$C$10</f>
        <v>4000</v>
      </c>
      <c r="V38" s="36" t="n">
        <f aca="false">IF(L38="","",ROUND(L38*ガイド!$C$6,0))</f>
        <v>0</v>
      </c>
      <c r="W38" s="14" t="n">
        <f aca="false">IF(COUNT(S38:V38)=0,"",SUM(S38:V38))</f>
        <v>49000</v>
      </c>
      <c r="X38" s="14" t="n">
        <f aca="false">IF(AND(R38="",W38=""),"",SUM(R38)-SUM(W38))</f>
        <v>-20500</v>
      </c>
      <c r="Y38" s="15" t="n">
        <f aca="false">IFERROR(X38/R38,"")</f>
        <v>-0.719298245614035</v>
      </c>
      <c r="Z38" s="14" t="n">
        <f aca="false">IFERROR(R38/J38,"")</f>
        <v>1500</v>
      </c>
      <c r="AA38" s="15" t="n">
        <f aca="false">IF(OR(J38="",F38=""),"",IFERROR(J38/F38,""))</f>
        <v>0.292307692307692</v>
      </c>
      <c r="AB38" s="15" t="n">
        <f aca="false">IFERROR((J38-K38)/J38,"")</f>
        <v>1</v>
      </c>
      <c r="AC38" s="13" t="n">
        <f aca="false">IFERROR(ROUNDUP(W38/I38,0),"")</f>
        <v>33</v>
      </c>
      <c r="AD38" s="37" t="s">
        <v>180</v>
      </c>
      <c r="AI38" s="21" t="n">
        <v>0</v>
      </c>
    </row>
    <row r="39" customFormat="false" ht="15" hidden="false" customHeight="false" outlineLevel="0" collapsed="false">
      <c r="A39" s="12" t="s">
        <v>246</v>
      </c>
      <c r="B39" s="12" t="s">
        <v>247</v>
      </c>
      <c r="C39" s="35" t="n">
        <v>46230</v>
      </c>
      <c r="D39" s="16" t="s">
        <v>32</v>
      </c>
      <c r="E39" s="26" t="s">
        <v>102</v>
      </c>
      <c r="F39" s="21" t="n">
        <v>65</v>
      </c>
      <c r="G39" s="16" t="s">
        <v>248</v>
      </c>
      <c r="H39" s="13" t="n">
        <f aca="false">IF(G39="","",LEN(G39)-LEN(SUBSTITUTE(G39,"／",""))+1)</f>
        <v>9</v>
      </c>
      <c r="I39" s="25" t="n">
        <v>1500</v>
      </c>
      <c r="J39" s="21" t="n">
        <v>44</v>
      </c>
      <c r="K39" s="21"/>
      <c r="L39" s="14" t="n">
        <f aca="false">IF(OR(I39="",J39=""),"",I39*J39)</f>
        <v>66000</v>
      </c>
      <c r="M39" s="25"/>
      <c r="N39" s="25"/>
      <c r="O39" s="25"/>
      <c r="P39" s="25"/>
      <c r="Q39" s="25"/>
      <c r="R39" s="14" t="n">
        <f aca="false">IF(COUNT(L39:Q39)=0,"",SUM(L39:Q39))</f>
        <v>66000</v>
      </c>
      <c r="S39" s="38" t="n">
        <f aca="false">IFERROR(INDEX(会場マスタ!$C$2:$C$12,MATCH(E39,会場マスタ!$A$2:$A$12,0)),"")</f>
        <v>45000</v>
      </c>
      <c r="T39" s="38" t="n">
        <f aca="false">IF(AI39="","",AI39*ガイド!$C$9)</f>
        <v>4000</v>
      </c>
      <c r="U39" s="38" t="n">
        <f aca="false">ガイド!$C$10</f>
        <v>4000</v>
      </c>
      <c r="V39" s="36" t="n">
        <f aca="false">IF(L39="","",ROUND(L39*ガイド!$C$6,0))</f>
        <v>0</v>
      </c>
      <c r="W39" s="14" t="n">
        <f aca="false">IF(COUNT(S39:V39)=0,"",SUM(S39:V39))</f>
        <v>53000</v>
      </c>
      <c r="X39" s="14" t="n">
        <f aca="false">IF(AND(R39="",W39=""),"",SUM(R39)-SUM(W39))</f>
        <v>13000</v>
      </c>
      <c r="Y39" s="15" t="n">
        <f aca="false">IFERROR(X39/R39,"")</f>
        <v>0.196969696969697</v>
      </c>
      <c r="Z39" s="14" t="n">
        <f aca="false">IFERROR(R39/J39,"")</f>
        <v>1500</v>
      </c>
      <c r="AA39" s="15" t="n">
        <f aca="false">IF(OR(J39="",F39=""),"",IFERROR(J39/F39,""))</f>
        <v>0.676923076923077</v>
      </c>
      <c r="AB39" s="15" t="n">
        <f aca="false">IFERROR((J39-K39)/J39,"")</f>
        <v>1</v>
      </c>
      <c r="AC39" s="13" t="n">
        <f aca="false">IFERROR(ROUNDUP(W39/I39,0),"")</f>
        <v>36</v>
      </c>
      <c r="AD39" s="37" t="s">
        <v>180</v>
      </c>
      <c r="AI39" s="21" t="n">
        <v>1</v>
      </c>
    </row>
    <row r="40" customFormat="false" ht="15" hidden="false" customHeight="false" outlineLevel="0" collapsed="false">
      <c r="A40" s="12" t="s">
        <v>249</v>
      </c>
      <c r="B40" s="12" t="s">
        <v>250</v>
      </c>
      <c r="C40" s="35" t="n">
        <v>46265</v>
      </c>
      <c r="D40" s="16" t="s">
        <v>32</v>
      </c>
      <c r="E40" s="26" t="s">
        <v>102</v>
      </c>
      <c r="F40" s="21"/>
      <c r="G40" s="16" t="s">
        <v>251</v>
      </c>
      <c r="H40" s="13" t="n">
        <f aca="false">IF(G40="","",LEN(G40)-LEN(SUBSTITUTE(G40,"／",""))+1)</f>
        <v>8</v>
      </c>
      <c r="I40" s="25" t="n">
        <v>1500</v>
      </c>
      <c r="J40" s="21"/>
      <c r="K40" s="21"/>
      <c r="L40" s="14" t="str">
        <f aca="false">IF(OR(I40="",J40=""),"",I40*J40)</f>
        <v/>
      </c>
      <c r="M40" s="25"/>
      <c r="N40" s="25"/>
      <c r="O40" s="25"/>
      <c r="P40" s="25"/>
      <c r="Q40" s="25"/>
      <c r="R40" s="14" t="str">
        <f aca="false">IF(COUNT(L40:Q40)=0,"",SUM(L40:Q40))</f>
        <v/>
      </c>
      <c r="S40" s="25"/>
      <c r="T40" s="25"/>
      <c r="U40" s="25"/>
      <c r="V40" s="36" t="str">
        <f aca="false">IF(L40="","",ROUND(L40*ガイド!$C$6,0))</f>
        <v/>
      </c>
      <c r="W40" s="14" t="str">
        <f aca="false">IF(COUNT(S40:V40)=0,"",SUM(S40:V40))</f>
        <v/>
      </c>
      <c r="X40" s="14" t="str">
        <f aca="false">IF(AND(R40="",W40=""),"",SUM(R40)-SUM(W40))</f>
        <v/>
      </c>
      <c r="Y40" s="15" t="str">
        <f aca="false">IFERROR(X40/R40,"")</f>
        <v/>
      </c>
      <c r="Z40" s="14" t="str">
        <f aca="false">IFERROR(R40/J40,"")</f>
        <v/>
      </c>
      <c r="AA40" s="15" t="str">
        <f aca="false">IF(OR(J40="",F40=""),"",IFERROR(J40/F40,""))</f>
        <v/>
      </c>
      <c r="AB40" s="15" t="str">
        <f aca="false">IFERROR((J40-K40)/J40,"")</f>
        <v/>
      </c>
      <c r="AC40" s="13" t="str">
        <f aca="false">IFERROR(ROUNDUP(W40/I40,0),"")</f>
        <v/>
      </c>
      <c r="AD40" s="26" t="s">
        <v>252</v>
      </c>
      <c r="AI40" s="21" t="n">
        <v>1</v>
      </c>
    </row>
    <row r="41" customFormat="false" ht="15" hidden="false" customHeight="false" outlineLevel="0" collapsed="false">
      <c r="A41" s="22" t="s">
        <v>253</v>
      </c>
      <c r="B41" s="39"/>
      <c r="C41" s="39"/>
      <c r="D41" s="39"/>
      <c r="E41" s="39"/>
      <c r="F41" s="39"/>
      <c r="G41" s="39"/>
      <c r="H41" s="39"/>
      <c r="I41" s="39"/>
      <c r="J41" s="40" t="n">
        <f aca="false">SUM(J3:J40)</f>
        <v>1071</v>
      </c>
      <c r="K41" s="40" t="n">
        <f aca="false">SUM(K3:K40)</f>
        <v>0</v>
      </c>
      <c r="L41" s="41" t="n">
        <f aca="false">SUM(L3:L40)</f>
        <v>1598000</v>
      </c>
      <c r="M41" s="41" t="n">
        <f aca="false">SUM(M3:M40)</f>
        <v>5080</v>
      </c>
      <c r="N41" s="41" t="n">
        <f aca="false">SUM(N3:N40)</f>
        <v>0</v>
      </c>
      <c r="O41" s="41" t="n">
        <f aca="false">SUM(O3:O40)</f>
        <v>0</v>
      </c>
      <c r="P41" s="41" t="n">
        <f aca="false">SUM(P3:P40)</f>
        <v>0</v>
      </c>
      <c r="Q41" s="41" t="n">
        <f aca="false">SUM(Q3:Q40)</f>
        <v>0</v>
      </c>
      <c r="R41" s="41" t="n">
        <f aca="false">SUM(R3:R40)</f>
        <v>1603080</v>
      </c>
      <c r="S41" s="41" t="n">
        <f aca="false">SUM(S3:S40)</f>
        <v>1554000</v>
      </c>
      <c r="T41" s="41" t="n">
        <f aca="false">SUM(T3:T40)</f>
        <v>414200</v>
      </c>
      <c r="U41" s="41" t="n">
        <f aca="false">SUM(U3:U40)</f>
        <v>168000</v>
      </c>
      <c r="V41" s="41" t="n">
        <f aca="false">SUM(V3:V40)</f>
        <v>0</v>
      </c>
      <c r="W41" s="41" t="n">
        <f aca="false">SUM(W3:W40)</f>
        <v>2136200</v>
      </c>
      <c r="X41" s="41" t="n">
        <f aca="false">SUM(X3:X40)</f>
        <v>-533120</v>
      </c>
      <c r="Y41" s="42" t="n">
        <f aca="false">IFERROR(X41/R41,"")</f>
        <v>-0.332559822341992</v>
      </c>
      <c r="Z41" s="41" t="n">
        <f aca="false">IFERROR(R41/J41,"")</f>
        <v>1496.80672268908</v>
      </c>
      <c r="AA41" s="42" t="n">
        <f aca="false">IFERROR(AVERAGE(AA3:AA40),"")</f>
        <v>0.497957955276504</v>
      </c>
      <c r="AB41" s="42" t="n">
        <f aca="false">IFERROR(AVERAGE(AB3:AB40),"")</f>
        <v>1</v>
      </c>
      <c r="AC41" s="39"/>
      <c r="AD41" s="39"/>
    </row>
    <row r="43" customFormat="false" ht="15" hidden="false" customHeight="false" outlineLevel="0" collapsed="false">
      <c r="A43" s="2" t="s">
        <v>254</v>
      </c>
    </row>
    <row r="44" customFormat="false" ht="15" hidden="false" customHeight="false" outlineLevel="0" collapsed="false">
      <c r="A44" s="2" t="s">
        <v>255</v>
      </c>
    </row>
    <row r="45" customFormat="false" ht="15" hidden="false" customHeight="false" outlineLevel="0" collapsed="false">
      <c r="A45" s="2" t="s">
        <v>256</v>
      </c>
    </row>
    <row r="46" customFormat="false" ht="15" hidden="false" customHeight="false" outlineLevel="0" collapsed="false">
      <c r="A46" s="17" t="s">
        <v>257</v>
      </c>
    </row>
    <row r="47" customFormat="false" ht="15" hidden="false" customHeight="false" outlineLevel="0" collapsed="false">
      <c r="A47" s="24" t="s">
        <v>258</v>
      </c>
    </row>
    <row r="48" customFormat="false" ht="15" hidden="false" customHeight="false" outlineLevel="0" collapsed="false">
      <c r="A48" s="24" t="s">
        <v>259</v>
      </c>
    </row>
    <row r="49" customFormat="false" ht="15" hidden="false" customHeight="false" outlineLevel="0" collapsed="false">
      <c r="A49" s="17" t="s">
        <v>260</v>
      </c>
    </row>
    <row r="50" customFormat="false" ht="15" hidden="false" customHeight="false" outlineLevel="0" collapsed="false">
      <c r="A50" s="2" t="s">
        <v>261</v>
      </c>
    </row>
    <row r="51" customFormat="false" ht="15" hidden="false" customHeight="false" outlineLevel="0" collapsed="false">
      <c r="A51" s="2" t="s">
        <v>262</v>
      </c>
    </row>
    <row r="52" customFormat="false" ht="15" hidden="false" customHeight="false" outlineLevel="0" collapsed="false">
      <c r="A52" s="2" t="s">
        <v>263</v>
      </c>
    </row>
    <row r="53" customFormat="false" ht="15" hidden="false" customHeight="false" outlineLevel="0" collapsed="false">
      <c r="A53" s="30" t="s">
        <v>264</v>
      </c>
    </row>
  </sheetData>
  <mergeCells count="5">
    <mergeCell ref="A1:H1"/>
    <mergeCell ref="I1:K1"/>
    <mergeCell ref="L1:R1"/>
    <mergeCell ref="S1:W1"/>
    <mergeCell ref="X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1" t="s">
        <v>265</v>
      </c>
      <c r="B1" s="11" t="s">
        <v>266</v>
      </c>
      <c r="C1" s="11" t="s">
        <v>267</v>
      </c>
      <c r="D1" s="11" t="s">
        <v>268</v>
      </c>
      <c r="E1" s="11" t="s">
        <v>269</v>
      </c>
      <c r="F1" s="11" t="s">
        <v>270</v>
      </c>
    </row>
    <row r="2" customFormat="false" ht="15" hidden="false" customHeight="false" outlineLevel="0" collapsed="false">
      <c r="A2" s="43"/>
      <c r="B2" s="43"/>
      <c r="C2" s="43"/>
      <c r="D2" s="43"/>
      <c r="E2" s="44"/>
      <c r="F2" s="28" t="str">
        <f aca="false">IF($B2="","",IF(COUNTIF($B$2:$B2,$B2)=1,"新規","リピート"))</f>
        <v/>
      </c>
    </row>
    <row r="3" customFormat="false" ht="15" hidden="false" customHeight="false" outlineLevel="0" collapsed="false">
      <c r="A3" s="43"/>
      <c r="B3" s="43"/>
      <c r="C3" s="43"/>
      <c r="D3" s="43"/>
      <c r="E3" s="44"/>
      <c r="F3" s="28" t="str">
        <f aca="false">IF($B3="","",IF(COUNTIF($B$2:$B3,$B3)=1,"新規","リピート"))</f>
        <v/>
      </c>
    </row>
    <row r="4" customFormat="false" ht="15" hidden="false" customHeight="false" outlineLevel="0" collapsed="false">
      <c r="A4" s="43"/>
      <c r="B4" s="43"/>
      <c r="C4" s="43"/>
      <c r="D4" s="43"/>
      <c r="E4" s="44"/>
      <c r="F4" s="28" t="str">
        <f aca="false">IF($B4="","",IF(COUNTIF($B$2:$B4,$B4)=1,"新規","リピート"))</f>
        <v/>
      </c>
    </row>
    <row r="5" customFormat="false" ht="15" hidden="false" customHeight="false" outlineLevel="0" collapsed="false">
      <c r="A5" s="43"/>
      <c r="B5" s="43"/>
      <c r="C5" s="43"/>
      <c r="D5" s="43"/>
      <c r="E5" s="44"/>
      <c r="F5" s="28" t="str">
        <f aca="false">IF($B5="","",IF(COUNTIF($B$2:$B5,$B5)=1,"新規","リピート"))</f>
        <v/>
      </c>
    </row>
    <row r="6" customFormat="false" ht="15" hidden="false" customHeight="false" outlineLevel="0" collapsed="false">
      <c r="A6" s="43"/>
      <c r="B6" s="43"/>
      <c r="C6" s="43"/>
      <c r="D6" s="43"/>
      <c r="E6" s="44"/>
      <c r="F6" s="28" t="str">
        <f aca="false">IF($B6="","",IF(COUNTIF($B$2:$B6,$B6)=1,"新規","リピート"))</f>
        <v/>
      </c>
    </row>
    <row r="7" customFormat="false" ht="15" hidden="false" customHeight="false" outlineLevel="0" collapsed="false">
      <c r="A7" s="43"/>
      <c r="B7" s="43"/>
      <c r="C7" s="43"/>
      <c r="D7" s="43"/>
      <c r="E7" s="44"/>
      <c r="F7" s="28" t="str">
        <f aca="false">IF($B7="","",IF(COUNTIF($B$2:$B7,$B7)=1,"新規","リピート"))</f>
        <v/>
      </c>
    </row>
    <row r="8" customFormat="false" ht="15" hidden="false" customHeight="false" outlineLevel="0" collapsed="false">
      <c r="A8" s="43"/>
      <c r="B8" s="43"/>
      <c r="C8" s="43"/>
      <c r="D8" s="43"/>
      <c r="E8" s="44"/>
      <c r="F8" s="28" t="str">
        <f aca="false">IF($B8="","",IF(COUNTIF($B$2:$B8,$B8)=1,"新規","リピート"))</f>
        <v/>
      </c>
    </row>
    <row r="9" customFormat="false" ht="15" hidden="false" customHeight="false" outlineLevel="0" collapsed="false">
      <c r="A9" s="43"/>
      <c r="B9" s="43"/>
      <c r="C9" s="43"/>
      <c r="D9" s="43"/>
      <c r="E9" s="44"/>
      <c r="F9" s="28" t="str">
        <f aca="false">IF($B9="","",IF(COUNTIF($B$2:$B9,$B9)=1,"新規","リピート"))</f>
        <v/>
      </c>
    </row>
    <row r="10" customFormat="false" ht="15" hidden="false" customHeight="false" outlineLevel="0" collapsed="false">
      <c r="A10" s="43"/>
      <c r="B10" s="43"/>
      <c r="C10" s="43"/>
      <c r="D10" s="43"/>
      <c r="E10" s="44"/>
      <c r="F10" s="28" t="str">
        <f aca="false">IF($B10="","",IF(COUNTIF($B$2:$B10,$B10)=1,"新規","リピート"))</f>
        <v/>
      </c>
    </row>
    <row r="11" customFormat="false" ht="15" hidden="false" customHeight="false" outlineLevel="0" collapsed="false">
      <c r="A11" s="43"/>
      <c r="B11" s="43"/>
      <c r="C11" s="43"/>
      <c r="D11" s="43"/>
      <c r="E11" s="44"/>
      <c r="F11" s="28" t="str">
        <f aca="false">IF($B11="","",IF(COUNTIF($B$2:$B11,$B11)=1,"新規","リピート"))</f>
        <v/>
      </c>
    </row>
    <row r="12" customFormat="false" ht="15" hidden="false" customHeight="false" outlineLevel="0" collapsed="false">
      <c r="A12" s="43"/>
      <c r="B12" s="43"/>
      <c r="C12" s="43"/>
      <c r="D12" s="43"/>
      <c r="E12" s="44"/>
      <c r="F12" s="28" t="str">
        <f aca="false">IF($B12="","",IF(COUNTIF($B$2:$B12,$B12)=1,"新規","リピート"))</f>
        <v/>
      </c>
    </row>
    <row r="13" customFormat="false" ht="15" hidden="false" customHeight="false" outlineLevel="0" collapsed="false">
      <c r="A13" s="43"/>
      <c r="B13" s="43"/>
      <c r="C13" s="43"/>
      <c r="D13" s="43"/>
      <c r="E13" s="44"/>
      <c r="F13" s="28" t="str">
        <f aca="false">IF($B13="","",IF(COUNTIF($B$2:$B13,$B13)=1,"新規","リピート"))</f>
        <v/>
      </c>
    </row>
    <row r="14" customFormat="false" ht="15" hidden="false" customHeight="false" outlineLevel="0" collapsed="false">
      <c r="A14" s="43"/>
      <c r="B14" s="43"/>
      <c r="C14" s="43"/>
      <c r="D14" s="43"/>
      <c r="E14" s="44"/>
      <c r="F14" s="28" t="str">
        <f aca="false">IF($B14="","",IF(COUNTIF($B$2:$B14,$B14)=1,"新規","リピート"))</f>
        <v/>
      </c>
    </row>
    <row r="15" customFormat="false" ht="15" hidden="false" customHeight="false" outlineLevel="0" collapsed="false">
      <c r="A15" s="43"/>
      <c r="B15" s="43"/>
      <c r="C15" s="43"/>
      <c r="D15" s="43"/>
      <c r="E15" s="44"/>
      <c r="F15" s="28" t="str">
        <f aca="false">IF($B15="","",IF(COUNTIF($B$2:$B15,$B15)=1,"新規","リピート"))</f>
        <v/>
      </c>
    </row>
    <row r="16" customFormat="false" ht="15" hidden="false" customHeight="false" outlineLevel="0" collapsed="false">
      <c r="A16" s="43"/>
      <c r="B16" s="43"/>
      <c r="C16" s="43"/>
      <c r="D16" s="43"/>
      <c r="E16" s="44"/>
      <c r="F16" s="28" t="str">
        <f aca="false">IF($B16="","",IF(COUNTIF($B$2:$B16,$B16)=1,"新規","リピート"))</f>
        <v/>
      </c>
    </row>
    <row r="17" customFormat="false" ht="15" hidden="false" customHeight="false" outlineLevel="0" collapsed="false">
      <c r="A17" s="43"/>
      <c r="B17" s="43"/>
      <c r="C17" s="43"/>
      <c r="D17" s="43"/>
      <c r="E17" s="44"/>
      <c r="F17" s="28" t="str">
        <f aca="false">IF($B17="","",IF(COUNTIF($B$2:$B17,$B17)=1,"新規","リピート"))</f>
        <v/>
      </c>
    </row>
    <row r="18" customFormat="false" ht="15" hidden="false" customHeight="false" outlineLevel="0" collapsed="false">
      <c r="A18" s="43"/>
      <c r="B18" s="43"/>
      <c r="C18" s="43"/>
      <c r="D18" s="43"/>
      <c r="E18" s="44"/>
      <c r="F18" s="28" t="str">
        <f aca="false">IF($B18="","",IF(COUNTIF($B$2:$B18,$B18)=1,"新規","リピート"))</f>
        <v/>
      </c>
    </row>
    <row r="19" customFormat="false" ht="15" hidden="false" customHeight="false" outlineLevel="0" collapsed="false">
      <c r="A19" s="43"/>
      <c r="B19" s="43"/>
      <c r="C19" s="43"/>
      <c r="D19" s="43"/>
      <c r="E19" s="44"/>
      <c r="F19" s="28" t="str">
        <f aca="false">IF($B19="","",IF(COUNTIF($B$2:$B19,$B19)=1,"新規","リピート"))</f>
        <v/>
      </c>
    </row>
    <row r="20" customFormat="false" ht="15" hidden="false" customHeight="false" outlineLevel="0" collapsed="false">
      <c r="A20" s="43"/>
      <c r="B20" s="43"/>
      <c r="C20" s="43"/>
      <c r="D20" s="43"/>
      <c r="E20" s="44"/>
      <c r="F20" s="28" t="str">
        <f aca="false">IF($B20="","",IF(COUNTIF($B$2:$B20,$B20)=1,"新規","リピート"))</f>
        <v/>
      </c>
    </row>
    <row r="21" customFormat="false" ht="15" hidden="false" customHeight="false" outlineLevel="0" collapsed="false">
      <c r="A21" s="43"/>
      <c r="B21" s="43"/>
      <c r="C21" s="43"/>
      <c r="D21" s="43"/>
      <c r="E21" s="44"/>
      <c r="F21" s="28" t="str">
        <f aca="false">IF($B21="","",IF(COUNTIF($B$2:$B21,$B21)=1,"新規","リピート"))</f>
        <v/>
      </c>
    </row>
    <row r="22" customFormat="false" ht="15" hidden="false" customHeight="false" outlineLevel="0" collapsed="false">
      <c r="A22" s="43"/>
      <c r="B22" s="43"/>
      <c r="C22" s="43"/>
      <c r="D22" s="43"/>
      <c r="E22" s="44"/>
      <c r="F22" s="28" t="str">
        <f aca="false">IF($B22="","",IF(COUNTIF($B$2:$B22,$B22)=1,"新規","リピート"))</f>
        <v/>
      </c>
    </row>
    <row r="23" customFormat="false" ht="15" hidden="false" customHeight="false" outlineLevel="0" collapsed="false">
      <c r="A23" s="43"/>
      <c r="B23" s="43"/>
      <c r="C23" s="43"/>
      <c r="D23" s="43"/>
      <c r="E23" s="44"/>
      <c r="F23" s="28" t="str">
        <f aca="false">IF($B23="","",IF(COUNTIF($B$2:$B23,$B23)=1,"新規","リピート"))</f>
        <v/>
      </c>
    </row>
    <row r="24" customFormat="false" ht="15" hidden="false" customHeight="false" outlineLevel="0" collapsed="false">
      <c r="A24" s="43"/>
      <c r="B24" s="43"/>
      <c r="C24" s="43"/>
      <c r="D24" s="43"/>
      <c r="E24" s="44"/>
      <c r="F24" s="28" t="str">
        <f aca="false">IF($B24="","",IF(COUNTIF($B$2:$B24,$B24)=1,"新規","リピート"))</f>
        <v/>
      </c>
    </row>
    <row r="25" customFormat="false" ht="15" hidden="false" customHeight="false" outlineLevel="0" collapsed="false">
      <c r="A25" s="43"/>
      <c r="B25" s="43"/>
      <c r="C25" s="43"/>
      <c r="D25" s="43"/>
      <c r="E25" s="44"/>
      <c r="F25" s="28" t="str">
        <f aca="false">IF($B25="","",IF(COUNTIF($B$2:$B25,$B25)=1,"新規","リピート"))</f>
        <v/>
      </c>
    </row>
    <row r="26" customFormat="false" ht="15" hidden="false" customHeight="false" outlineLevel="0" collapsed="false">
      <c r="A26" s="43"/>
      <c r="B26" s="43"/>
      <c r="C26" s="43"/>
      <c r="D26" s="43"/>
      <c r="E26" s="44"/>
      <c r="F26" s="28" t="str">
        <f aca="false">IF($B26="","",IF(COUNTIF($B$2:$B26,$B26)=1,"新規","リピート"))</f>
        <v/>
      </c>
    </row>
    <row r="27" customFormat="false" ht="15" hidden="false" customHeight="false" outlineLevel="0" collapsed="false">
      <c r="A27" s="43"/>
      <c r="B27" s="43"/>
      <c r="C27" s="43"/>
      <c r="D27" s="43"/>
      <c r="E27" s="44"/>
      <c r="F27" s="28" t="str">
        <f aca="false">IF($B27="","",IF(COUNTIF($B$2:$B27,$B27)=1,"新規","リピート"))</f>
        <v/>
      </c>
    </row>
    <row r="28" customFormat="false" ht="15" hidden="false" customHeight="false" outlineLevel="0" collapsed="false">
      <c r="A28" s="43"/>
      <c r="B28" s="43"/>
      <c r="C28" s="43"/>
      <c r="D28" s="43"/>
      <c r="E28" s="44"/>
      <c r="F28" s="28" t="str">
        <f aca="false">IF($B28="","",IF(COUNTIF($B$2:$B28,$B28)=1,"新規","リピート"))</f>
        <v/>
      </c>
    </row>
    <row r="29" customFormat="false" ht="15" hidden="false" customHeight="false" outlineLevel="0" collapsed="false">
      <c r="A29" s="43"/>
      <c r="B29" s="43"/>
      <c r="C29" s="43"/>
      <c r="D29" s="43"/>
      <c r="E29" s="44"/>
      <c r="F29" s="28" t="str">
        <f aca="false">IF($B29="","",IF(COUNTIF($B$2:$B29,$B29)=1,"新規","リピート"))</f>
        <v/>
      </c>
    </row>
    <row r="30" customFormat="false" ht="15" hidden="false" customHeight="false" outlineLevel="0" collapsed="false">
      <c r="A30" s="43"/>
      <c r="B30" s="43"/>
      <c r="C30" s="43"/>
      <c r="D30" s="43"/>
      <c r="E30" s="44"/>
      <c r="F30" s="28" t="str">
        <f aca="false">IF($B30="","",IF(COUNTIF($B$2:$B30,$B30)=1,"新規","リピート"))</f>
        <v/>
      </c>
    </row>
    <row r="31" customFormat="false" ht="15" hidden="false" customHeight="false" outlineLevel="0" collapsed="false">
      <c r="A31" s="43"/>
      <c r="B31" s="43"/>
      <c r="C31" s="43"/>
      <c r="D31" s="43"/>
      <c r="E31" s="44"/>
      <c r="F31" s="28" t="str">
        <f aca="false">IF($B31="","",IF(COUNTIF($B$2:$B31,$B31)=1,"新規","リピート"))</f>
        <v/>
      </c>
    </row>
    <row r="32" customFormat="false" ht="15" hidden="false" customHeight="false" outlineLevel="0" collapsed="false">
      <c r="A32" s="43"/>
      <c r="B32" s="43"/>
      <c r="C32" s="43"/>
      <c r="D32" s="43"/>
      <c r="E32" s="44"/>
      <c r="F32" s="28" t="str">
        <f aca="false">IF($B32="","",IF(COUNTIF($B$2:$B32,$B32)=1,"新規","リピート"))</f>
        <v/>
      </c>
    </row>
    <row r="33" customFormat="false" ht="15" hidden="false" customHeight="false" outlineLevel="0" collapsed="false">
      <c r="A33" s="43"/>
      <c r="B33" s="43"/>
      <c r="C33" s="43"/>
      <c r="D33" s="43"/>
      <c r="E33" s="44"/>
      <c r="F33" s="28" t="str">
        <f aca="false">IF($B33="","",IF(COUNTIF($B$2:$B33,$B33)=1,"新規","リピート"))</f>
        <v/>
      </c>
    </row>
    <row r="34" customFormat="false" ht="15" hidden="false" customHeight="false" outlineLevel="0" collapsed="false">
      <c r="A34" s="43"/>
      <c r="B34" s="43"/>
      <c r="C34" s="43"/>
      <c r="D34" s="43"/>
      <c r="E34" s="44"/>
      <c r="F34" s="28" t="str">
        <f aca="false">IF($B34="","",IF(COUNTIF($B$2:$B34,$B34)=1,"新規","リピート"))</f>
        <v/>
      </c>
    </row>
    <row r="35" customFormat="false" ht="15" hidden="false" customHeight="false" outlineLevel="0" collapsed="false">
      <c r="A35" s="43"/>
      <c r="B35" s="43"/>
      <c r="C35" s="43"/>
      <c r="D35" s="43"/>
      <c r="E35" s="44"/>
      <c r="F35" s="28" t="str">
        <f aca="false">IF($B35="","",IF(COUNTIF($B$2:$B35,$B35)=1,"新規","リピート"))</f>
        <v/>
      </c>
    </row>
    <row r="36" customFormat="false" ht="15" hidden="false" customHeight="false" outlineLevel="0" collapsed="false">
      <c r="A36" s="43"/>
      <c r="B36" s="43"/>
      <c r="C36" s="43"/>
      <c r="D36" s="43"/>
      <c r="E36" s="44"/>
      <c r="F36" s="28" t="str">
        <f aca="false">IF($B36="","",IF(COUNTIF($B$2:$B36,$B36)=1,"新規","リピート"))</f>
        <v/>
      </c>
    </row>
    <row r="37" customFormat="false" ht="15" hidden="false" customHeight="false" outlineLevel="0" collapsed="false">
      <c r="A37" s="43"/>
      <c r="B37" s="43"/>
      <c r="C37" s="43"/>
      <c r="D37" s="43"/>
      <c r="E37" s="44"/>
      <c r="F37" s="28" t="str">
        <f aca="false">IF($B37="","",IF(COUNTIF($B$2:$B37,$B37)=1,"新規","リピート"))</f>
        <v/>
      </c>
    </row>
    <row r="38" customFormat="false" ht="15" hidden="false" customHeight="false" outlineLevel="0" collapsed="false">
      <c r="A38" s="43"/>
      <c r="B38" s="43"/>
      <c r="C38" s="43"/>
      <c r="D38" s="43"/>
      <c r="E38" s="44"/>
      <c r="F38" s="28" t="str">
        <f aca="false">IF($B38="","",IF(COUNTIF($B$2:$B38,$B38)=1,"新規","リピート"))</f>
        <v/>
      </c>
    </row>
    <row r="39" customFormat="false" ht="15" hidden="false" customHeight="false" outlineLevel="0" collapsed="false">
      <c r="A39" s="43"/>
      <c r="B39" s="43"/>
      <c r="C39" s="43"/>
      <c r="D39" s="43"/>
      <c r="E39" s="44"/>
      <c r="F39" s="28" t="str">
        <f aca="false">IF($B39="","",IF(COUNTIF($B$2:$B39,$B39)=1,"新規","リピート"))</f>
        <v/>
      </c>
    </row>
    <row r="40" customFormat="false" ht="15" hidden="false" customHeight="false" outlineLevel="0" collapsed="false">
      <c r="A40" s="43"/>
      <c r="B40" s="43"/>
      <c r="C40" s="43"/>
      <c r="D40" s="43"/>
      <c r="E40" s="44"/>
      <c r="F40" s="28" t="str">
        <f aca="false">IF($B40="","",IF(COUNTIF($B$2:$B40,$B40)=1,"新規","リピート"))</f>
        <v/>
      </c>
    </row>
    <row r="41" customFormat="false" ht="15" hidden="false" customHeight="false" outlineLevel="0" collapsed="false">
      <c r="A41" s="43"/>
      <c r="B41" s="43"/>
      <c r="C41" s="43"/>
      <c r="D41" s="43"/>
      <c r="E41" s="44"/>
      <c r="F41" s="28" t="str">
        <f aca="false">IF($B41="","",IF(COUNTIF($B$2:$B41,$B41)=1,"新規","リピート"))</f>
        <v/>
      </c>
    </row>
    <row r="42" customFormat="false" ht="15" hidden="false" customHeight="false" outlineLevel="0" collapsed="false">
      <c r="A42" s="43"/>
      <c r="B42" s="43"/>
      <c r="C42" s="43"/>
      <c r="D42" s="43"/>
      <c r="E42" s="44"/>
      <c r="F42" s="28" t="str">
        <f aca="false">IF($B42="","",IF(COUNTIF($B$2:$B42,$B42)=1,"新規","リピート"))</f>
        <v/>
      </c>
    </row>
    <row r="43" customFormat="false" ht="15" hidden="false" customHeight="false" outlineLevel="0" collapsed="false">
      <c r="A43" s="43"/>
      <c r="B43" s="43"/>
      <c r="C43" s="43"/>
      <c r="D43" s="43"/>
      <c r="E43" s="44"/>
      <c r="F43" s="28" t="str">
        <f aca="false">IF($B43="","",IF(COUNTIF($B$2:$B43,$B43)=1,"新規","リピート"))</f>
        <v/>
      </c>
    </row>
    <row r="44" customFormat="false" ht="15" hidden="false" customHeight="false" outlineLevel="0" collapsed="false">
      <c r="A44" s="43"/>
      <c r="B44" s="43"/>
      <c r="C44" s="43"/>
      <c r="D44" s="43"/>
      <c r="E44" s="44"/>
      <c r="F44" s="28" t="str">
        <f aca="false">IF($B44="","",IF(COUNTIF($B$2:$B44,$B44)=1,"新規","リピート"))</f>
        <v/>
      </c>
    </row>
    <row r="45" customFormat="false" ht="15" hidden="false" customHeight="false" outlineLevel="0" collapsed="false">
      <c r="A45" s="43"/>
      <c r="B45" s="43"/>
      <c r="C45" s="43"/>
      <c r="D45" s="43"/>
      <c r="E45" s="44"/>
      <c r="F45" s="28" t="str">
        <f aca="false">IF($B45="","",IF(COUNTIF($B$2:$B45,$B45)=1,"新規","リピート"))</f>
        <v/>
      </c>
    </row>
    <row r="46" customFormat="false" ht="15" hidden="false" customHeight="false" outlineLevel="0" collapsed="false">
      <c r="A46" s="43"/>
      <c r="B46" s="43"/>
      <c r="C46" s="43"/>
      <c r="D46" s="43"/>
      <c r="E46" s="44"/>
      <c r="F46" s="28" t="str">
        <f aca="false">IF($B46="","",IF(COUNTIF($B$2:$B46,$B46)=1,"新規","リピート"))</f>
        <v/>
      </c>
    </row>
    <row r="47" customFormat="false" ht="15" hidden="false" customHeight="false" outlineLevel="0" collapsed="false">
      <c r="A47" s="43"/>
      <c r="B47" s="43"/>
      <c r="C47" s="43"/>
      <c r="D47" s="43"/>
      <c r="E47" s="44"/>
      <c r="F47" s="28" t="str">
        <f aca="false">IF($B47="","",IF(COUNTIF($B$2:$B47,$B47)=1,"新規","リピート"))</f>
        <v/>
      </c>
    </row>
    <row r="48" customFormat="false" ht="15" hidden="false" customHeight="false" outlineLevel="0" collapsed="false">
      <c r="A48" s="43"/>
      <c r="B48" s="43"/>
      <c r="C48" s="43"/>
      <c r="D48" s="43"/>
      <c r="E48" s="44"/>
      <c r="F48" s="28" t="str">
        <f aca="false">IF($B48="","",IF(COUNTIF($B$2:$B48,$B48)=1,"新規","リピート"))</f>
        <v/>
      </c>
    </row>
    <row r="49" customFormat="false" ht="15" hidden="false" customHeight="false" outlineLevel="0" collapsed="false">
      <c r="A49" s="43"/>
      <c r="B49" s="43"/>
      <c r="C49" s="43"/>
      <c r="D49" s="43"/>
      <c r="E49" s="44"/>
      <c r="F49" s="28" t="str">
        <f aca="false">IF($B49="","",IF(COUNTIF($B$2:$B49,$B49)=1,"新規","リピート"))</f>
        <v/>
      </c>
    </row>
    <row r="50" customFormat="false" ht="15" hidden="false" customHeight="false" outlineLevel="0" collapsed="false">
      <c r="A50" s="43"/>
      <c r="B50" s="43"/>
      <c r="C50" s="43"/>
      <c r="D50" s="43"/>
      <c r="E50" s="44"/>
      <c r="F50" s="28" t="str">
        <f aca="false">IF($B50="","",IF(COUNTIF($B$2:$B50,$B50)=1,"新規","リピート"))</f>
        <v/>
      </c>
    </row>
    <row r="51" customFormat="false" ht="15" hidden="false" customHeight="false" outlineLevel="0" collapsed="false">
      <c r="A51" s="43"/>
      <c r="B51" s="43"/>
      <c r="C51" s="43"/>
      <c r="D51" s="43"/>
      <c r="E51" s="44"/>
      <c r="F51" s="28" t="str">
        <f aca="false">IF($B51="","",IF(COUNTIF($B$2:$B51,$B51)=1,"新規","リピート"))</f>
        <v/>
      </c>
    </row>
    <row r="52" customFormat="false" ht="15" hidden="false" customHeight="false" outlineLevel="0" collapsed="false">
      <c r="A52" s="43"/>
      <c r="B52" s="43"/>
      <c r="C52" s="43"/>
      <c r="D52" s="43"/>
      <c r="E52" s="44"/>
      <c r="F52" s="28" t="str">
        <f aca="false">IF($B52="","",IF(COUNTIF($B$2:$B52,$B52)=1,"新規","リピート"))</f>
        <v/>
      </c>
    </row>
    <row r="53" customFormat="false" ht="15" hidden="false" customHeight="false" outlineLevel="0" collapsed="false">
      <c r="A53" s="43"/>
      <c r="B53" s="43"/>
      <c r="C53" s="43"/>
      <c r="D53" s="43"/>
      <c r="E53" s="44"/>
      <c r="F53" s="28" t="str">
        <f aca="false">IF($B53="","",IF(COUNTIF($B$2:$B53,$B53)=1,"新規","リピート"))</f>
        <v/>
      </c>
    </row>
    <row r="54" customFormat="false" ht="15" hidden="false" customHeight="false" outlineLevel="0" collapsed="false">
      <c r="A54" s="43"/>
      <c r="B54" s="43"/>
      <c r="C54" s="43"/>
      <c r="D54" s="43"/>
      <c r="E54" s="44"/>
      <c r="F54" s="28" t="str">
        <f aca="false">IF($B54="","",IF(COUNTIF($B$2:$B54,$B54)=1,"新規","リピート"))</f>
        <v/>
      </c>
    </row>
    <row r="55" customFormat="false" ht="15" hidden="false" customHeight="false" outlineLevel="0" collapsed="false">
      <c r="A55" s="43"/>
      <c r="B55" s="43"/>
      <c r="C55" s="43"/>
      <c r="D55" s="43"/>
      <c r="E55" s="44"/>
      <c r="F55" s="28" t="str">
        <f aca="false">IF($B55="","",IF(COUNTIF($B$2:$B55,$B55)=1,"新規","リピート"))</f>
        <v/>
      </c>
    </row>
    <row r="56" customFormat="false" ht="15" hidden="false" customHeight="false" outlineLevel="0" collapsed="false">
      <c r="A56" s="43"/>
      <c r="B56" s="43"/>
      <c r="C56" s="43"/>
      <c r="D56" s="43"/>
      <c r="E56" s="44"/>
      <c r="F56" s="28" t="str">
        <f aca="false">IF($B56="","",IF(COUNTIF($B$2:$B56,$B56)=1,"新規","リピート"))</f>
        <v/>
      </c>
    </row>
    <row r="57" customFormat="false" ht="15" hidden="false" customHeight="false" outlineLevel="0" collapsed="false">
      <c r="A57" s="43"/>
      <c r="B57" s="43"/>
      <c r="C57" s="43"/>
      <c r="D57" s="43"/>
      <c r="E57" s="44"/>
      <c r="F57" s="28" t="str">
        <f aca="false">IF($B57="","",IF(COUNTIF($B$2:$B57,$B57)=1,"新規","リピート"))</f>
        <v/>
      </c>
    </row>
    <row r="58" customFormat="false" ht="15" hidden="false" customHeight="false" outlineLevel="0" collapsed="false">
      <c r="A58" s="43"/>
      <c r="B58" s="43"/>
      <c r="C58" s="43"/>
      <c r="D58" s="43"/>
      <c r="E58" s="44"/>
      <c r="F58" s="28" t="str">
        <f aca="false">IF($B58="","",IF(COUNTIF($B$2:$B58,$B58)=1,"新規","リピート"))</f>
        <v/>
      </c>
    </row>
    <row r="59" customFormat="false" ht="15" hidden="false" customHeight="false" outlineLevel="0" collapsed="false">
      <c r="A59" s="43"/>
      <c r="B59" s="43"/>
      <c r="C59" s="43"/>
      <c r="D59" s="43"/>
      <c r="E59" s="44"/>
      <c r="F59" s="28" t="str">
        <f aca="false">IF($B59="","",IF(COUNTIF($B$2:$B59,$B59)=1,"新規","リピート"))</f>
        <v/>
      </c>
    </row>
    <row r="60" customFormat="false" ht="15" hidden="false" customHeight="false" outlineLevel="0" collapsed="false">
      <c r="A60" s="43"/>
      <c r="B60" s="43"/>
      <c r="C60" s="43"/>
      <c r="D60" s="43"/>
      <c r="E60" s="44"/>
      <c r="F60" s="28" t="str">
        <f aca="false">IF($B60="","",IF(COUNTIF($B$2:$B60,$B60)=1,"新規","リピート"))</f>
        <v/>
      </c>
    </row>
    <row r="61" customFormat="false" ht="15" hidden="false" customHeight="false" outlineLevel="0" collapsed="false">
      <c r="A61" s="43"/>
      <c r="B61" s="43"/>
      <c r="C61" s="43"/>
      <c r="D61" s="43"/>
      <c r="E61" s="44"/>
      <c r="F61" s="28" t="str">
        <f aca="false">IF($B61="","",IF(COUNTIF($B$2:$B61,$B61)=1,"新規","リピート"))</f>
        <v/>
      </c>
    </row>
    <row r="62" customFormat="false" ht="15" hidden="false" customHeight="false" outlineLevel="0" collapsed="false">
      <c r="A62" s="43"/>
      <c r="B62" s="43"/>
      <c r="C62" s="43"/>
      <c r="D62" s="43"/>
      <c r="E62" s="44"/>
      <c r="F62" s="28" t="str">
        <f aca="false">IF($B62="","",IF(COUNTIF($B$2:$B62,$B62)=1,"新規","リピート"))</f>
        <v/>
      </c>
    </row>
    <row r="63" customFormat="false" ht="15" hidden="false" customHeight="false" outlineLevel="0" collapsed="false">
      <c r="A63" s="43"/>
      <c r="B63" s="43"/>
      <c r="C63" s="43"/>
      <c r="D63" s="43"/>
      <c r="E63" s="44"/>
      <c r="F63" s="28" t="str">
        <f aca="false">IF($B63="","",IF(COUNTIF($B$2:$B63,$B63)=1,"新規","リピート"))</f>
        <v/>
      </c>
    </row>
    <row r="64" customFormat="false" ht="15" hidden="false" customHeight="false" outlineLevel="0" collapsed="false">
      <c r="A64" s="43"/>
      <c r="B64" s="43"/>
      <c r="C64" s="43"/>
      <c r="D64" s="43"/>
      <c r="E64" s="44"/>
      <c r="F64" s="28" t="str">
        <f aca="false">IF($B64="","",IF(COUNTIF($B$2:$B64,$B64)=1,"新規","リピート"))</f>
        <v/>
      </c>
    </row>
    <row r="65" customFormat="false" ht="15" hidden="false" customHeight="false" outlineLevel="0" collapsed="false">
      <c r="A65" s="43"/>
      <c r="B65" s="43"/>
      <c r="C65" s="43"/>
      <c r="D65" s="43"/>
      <c r="E65" s="44"/>
      <c r="F65" s="28" t="str">
        <f aca="false">IF($B65="","",IF(COUNTIF($B$2:$B65,$B65)=1,"新規","リピート"))</f>
        <v/>
      </c>
    </row>
    <row r="66" customFormat="false" ht="15" hidden="false" customHeight="false" outlineLevel="0" collapsed="false">
      <c r="A66" s="43"/>
      <c r="B66" s="43"/>
      <c r="C66" s="43"/>
      <c r="D66" s="43"/>
      <c r="E66" s="44"/>
      <c r="F66" s="28" t="str">
        <f aca="false">IF($B66="","",IF(COUNTIF($B$2:$B66,$B66)=1,"新規","リピート"))</f>
        <v/>
      </c>
    </row>
    <row r="67" customFormat="false" ht="15" hidden="false" customHeight="false" outlineLevel="0" collapsed="false">
      <c r="A67" s="43"/>
      <c r="B67" s="43"/>
      <c r="C67" s="43"/>
      <c r="D67" s="43"/>
      <c r="E67" s="44"/>
      <c r="F67" s="28" t="str">
        <f aca="false">IF($B67="","",IF(COUNTIF($B$2:$B67,$B67)=1,"新規","リピート"))</f>
        <v/>
      </c>
    </row>
    <row r="68" customFormat="false" ht="15" hidden="false" customHeight="false" outlineLevel="0" collapsed="false">
      <c r="A68" s="43"/>
      <c r="B68" s="43"/>
      <c r="C68" s="43"/>
      <c r="D68" s="43"/>
      <c r="E68" s="44"/>
      <c r="F68" s="28" t="str">
        <f aca="false">IF($B68="","",IF(COUNTIF($B$2:$B68,$B68)=1,"新規","リピート"))</f>
        <v/>
      </c>
    </row>
    <row r="69" customFormat="false" ht="15" hidden="false" customHeight="false" outlineLevel="0" collapsed="false">
      <c r="A69" s="43"/>
      <c r="B69" s="43"/>
      <c r="C69" s="43"/>
      <c r="D69" s="43"/>
      <c r="E69" s="44"/>
      <c r="F69" s="28" t="str">
        <f aca="false">IF($B69="","",IF(COUNTIF($B$2:$B69,$B69)=1,"新規","リピート"))</f>
        <v/>
      </c>
    </row>
    <row r="70" customFormat="false" ht="15" hidden="false" customHeight="false" outlineLevel="0" collapsed="false">
      <c r="A70" s="43"/>
      <c r="B70" s="43"/>
      <c r="C70" s="43"/>
      <c r="D70" s="43"/>
      <c r="E70" s="44"/>
      <c r="F70" s="28" t="str">
        <f aca="false">IF($B70="","",IF(COUNTIF($B$2:$B70,$B70)=1,"新規","リピート"))</f>
        <v/>
      </c>
    </row>
    <row r="71" customFormat="false" ht="15" hidden="false" customHeight="false" outlineLevel="0" collapsed="false">
      <c r="A71" s="43"/>
      <c r="B71" s="43"/>
      <c r="C71" s="43"/>
      <c r="D71" s="43"/>
      <c r="E71" s="44"/>
      <c r="F71" s="28" t="str">
        <f aca="false">IF($B71="","",IF(COUNTIF($B$2:$B71,$B71)=1,"新規","リピート"))</f>
        <v/>
      </c>
    </row>
    <row r="72" customFormat="false" ht="15" hidden="false" customHeight="false" outlineLevel="0" collapsed="false">
      <c r="A72" s="43"/>
      <c r="B72" s="43"/>
      <c r="C72" s="43"/>
      <c r="D72" s="43"/>
      <c r="E72" s="44"/>
      <c r="F72" s="28" t="str">
        <f aca="false">IF($B72="","",IF(COUNTIF($B$2:$B72,$B72)=1,"新規","リピート"))</f>
        <v/>
      </c>
    </row>
    <row r="73" customFormat="false" ht="15" hidden="false" customHeight="false" outlineLevel="0" collapsed="false">
      <c r="A73" s="43"/>
      <c r="B73" s="43"/>
      <c r="C73" s="43"/>
      <c r="D73" s="43"/>
      <c r="E73" s="44"/>
      <c r="F73" s="28" t="str">
        <f aca="false">IF($B73="","",IF(COUNTIF($B$2:$B73,$B73)=1,"新規","リピート"))</f>
        <v/>
      </c>
    </row>
    <row r="74" customFormat="false" ht="15" hidden="false" customHeight="false" outlineLevel="0" collapsed="false">
      <c r="A74" s="43"/>
      <c r="B74" s="43"/>
      <c r="C74" s="43"/>
      <c r="D74" s="43"/>
      <c r="E74" s="44"/>
      <c r="F74" s="28" t="str">
        <f aca="false">IF($B74="","",IF(COUNTIF($B$2:$B74,$B74)=1,"新規","リピート"))</f>
        <v/>
      </c>
    </row>
    <row r="75" customFormat="false" ht="15" hidden="false" customHeight="false" outlineLevel="0" collapsed="false">
      <c r="A75" s="43"/>
      <c r="B75" s="43"/>
      <c r="C75" s="43"/>
      <c r="D75" s="43"/>
      <c r="E75" s="44"/>
      <c r="F75" s="28" t="str">
        <f aca="false">IF($B75="","",IF(COUNTIF($B$2:$B75,$B75)=1,"新規","リピート"))</f>
        <v/>
      </c>
    </row>
    <row r="76" customFormat="false" ht="15" hidden="false" customHeight="false" outlineLevel="0" collapsed="false">
      <c r="A76" s="43"/>
      <c r="B76" s="43"/>
      <c r="C76" s="43"/>
      <c r="D76" s="43"/>
      <c r="E76" s="44"/>
      <c r="F76" s="28" t="str">
        <f aca="false">IF($B76="","",IF(COUNTIF($B$2:$B76,$B76)=1,"新規","リピート"))</f>
        <v/>
      </c>
    </row>
    <row r="77" customFormat="false" ht="15" hidden="false" customHeight="false" outlineLevel="0" collapsed="false">
      <c r="A77" s="43"/>
      <c r="B77" s="43"/>
      <c r="C77" s="43"/>
      <c r="D77" s="43"/>
      <c r="E77" s="44"/>
      <c r="F77" s="28" t="str">
        <f aca="false">IF($B77="","",IF(COUNTIF($B$2:$B77,$B77)=1,"新規","リピート"))</f>
        <v/>
      </c>
    </row>
    <row r="78" customFormat="false" ht="15" hidden="false" customHeight="false" outlineLevel="0" collapsed="false">
      <c r="A78" s="43"/>
      <c r="B78" s="43"/>
      <c r="C78" s="43"/>
      <c r="D78" s="43"/>
      <c r="E78" s="44"/>
      <c r="F78" s="28" t="str">
        <f aca="false">IF($B78="","",IF(COUNTIF($B$2:$B78,$B78)=1,"新規","リピート"))</f>
        <v/>
      </c>
    </row>
    <row r="79" customFormat="false" ht="15" hidden="false" customHeight="false" outlineLevel="0" collapsed="false">
      <c r="A79" s="43"/>
      <c r="B79" s="43"/>
      <c r="C79" s="43"/>
      <c r="D79" s="43"/>
      <c r="E79" s="44"/>
      <c r="F79" s="28" t="str">
        <f aca="false">IF($B79="","",IF(COUNTIF($B$2:$B79,$B79)=1,"新規","リピート"))</f>
        <v/>
      </c>
    </row>
    <row r="80" customFormat="false" ht="15" hidden="false" customHeight="false" outlineLevel="0" collapsed="false">
      <c r="A80" s="43"/>
      <c r="B80" s="43"/>
      <c r="C80" s="43"/>
      <c r="D80" s="43"/>
      <c r="E80" s="44"/>
      <c r="F80" s="28" t="str">
        <f aca="false">IF($B80="","",IF(COUNTIF($B$2:$B80,$B80)=1,"新規","リピート"))</f>
        <v/>
      </c>
    </row>
    <row r="81" customFormat="false" ht="15" hidden="false" customHeight="false" outlineLevel="0" collapsed="false">
      <c r="A81" s="43"/>
      <c r="B81" s="43"/>
      <c r="C81" s="43"/>
      <c r="D81" s="43"/>
      <c r="E81" s="44"/>
      <c r="F81" s="28" t="str">
        <f aca="false">IF($B81="","",IF(COUNTIF($B$2:$B81,$B81)=1,"新規","リピート"))</f>
        <v/>
      </c>
    </row>
    <row r="82" customFormat="false" ht="15" hidden="false" customHeight="false" outlineLevel="0" collapsed="false">
      <c r="A82" s="43"/>
      <c r="B82" s="43"/>
      <c r="C82" s="43"/>
      <c r="D82" s="43"/>
      <c r="E82" s="44"/>
      <c r="F82" s="28" t="str">
        <f aca="false">IF($B82="","",IF(COUNTIF($B$2:$B82,$B82)=1,"新規","リピート"))</f>
        <v/>
      </c>
    </row>
    <row r="83" customFormat="false" ht="15" hidden="false" customHeight="false" outlineLevel="0" collapsed="false">
      <c r="A83" s="43"/>
      <c r="B83" s="43"/>
      <c r="C83" s="43"/>
      <c r="D83" s="43"/>
      <c r="E83" s="44"/>
      <c r="F83" s="28" t="str">
        <f aca="false">IF($B83="","",IF(COUNTIF($B$2:$B83,$B83)=1,"新規","リピート"))</f>
        <v/>
      </c>
    </row>
    <row r="84" customFormat="false" ht="15" hidden="false" customHeight="false" outlineLevel="0" collapsed="false">
      <c r="A84" s="43"/>
      <c r="B84" s="43"/>
      <c r="C84" s="43"/>
      <c r="D84" s="43"/>
      <c r="E84" s="44"/>
      <c r="F84" s="28" t="str">
        <f aca="false">IF($B84="","",IF(COUNTIF($B$2:$B84,$B84)=1,"新規","リピート"))</f>
        <v/>
      </c>
    </row>
    <row r="85" customFormat="false" ht="15" hidden="false" customHeight="false" outlineLevel="0" collapsed="false">
      <c r="A85" s="43"/>
      <c r="B85" s="43"/>
      <c r="C85" s="43"/>
      <c r="D85" s="43"/>
      <c r="E85" s="44"/>
      <c r="F85" s="28" t="str">
        <f aca="false">IF($B85="","",IF(COUNTIF($B$2:$B85,$B85)=1,"新規","リピート"))</f>
        <v/>
      </c>
    </row>
    <row r="86" customFormat="false" ht="15" hidden="false" customHeight="false" outlineLevel="0" collapsed="false">
      <c r="A86" s="43"/>
      <c r="B86" s="43"/>
      <c r="C86" s="43"/>
      <c r="D86" s="43"/>
      <c r="E86" s="44"/>
      <c r="F86" s="28" t="str">
        <f aca="false">IF($B86="","",IF(COUNTIF($B$2:$B86,$B86)=1,"新規","リピート"))</f>
        <v/>
      </c>
    </row>
    <row r="87" customFormat="false" ht="15" hidden="false" customHeight="false" outlineLevel="0" collapsed="false">
      <c r="A87" s="43"/>
      <c r="B87" s="43"/>
      <c r="C87" s="43"/>
      <c r="D87" s="43"/>
      <c r="E87" s="44"/>
      <c r="F87" s="28" t="str">
        <f aca="false">IF($B87="","",IF(COUNTIF($B$2:$B87,$B87)=1,"新規","リピート"))</f>
        <v/>
      </c>
    </row>
    <row r="88" customFormat="false" ht="15" hidden="false" customHeight="false" outlineLevel="0" collapsed="false">
      <c r="A88" s="43"/>
      <c r="B88" s="43"/>
      <c r="C88" s="43"/>
      <c r="D88" s="43"/>
      <c r="E88" s="44"/>
      <c r="F88" s="28" t="str">
        <f aca="false">IF($B88="","",IF(COUNTIF($B$2:$B88,$B88)=1,"新規","リピート"))</f>
        <v/>
      </c>
    </row>
    <row r="89" customFormat="false" ht="15" hidden="false" customHeight="false" outlineLevel="0" collapsed="false">
      <c r="A89" s="43"/>
      <c r="B89" s="43"/>
      <c r="C89" s="43"/>
      <c r="D89" s="43"/>
      <c r="E89" s="44"/>
      <c r="F89" s="28" t="str">
        <f aca="false">IF($B89="","",IF(COUNTIF($B$2:$B89,$B89)=1,"新規","リピート"))</f>
        <v/>
      </c>
    </row>
    <row r="90" customFormat="false" ht="15" hidden="false" customHeight="false" outlineLevel="0" collapsed="false">
      <c r="A90" s="43"/>
      <c r="B90" s="43"/>
      <c r="C90" s="43"/>
      <c r="D90" s="43"/>
      <c r="E90" s="44"/>
      <c r="F90" s="28" t="str">
        <f aca="false">IF($B90="","",IF(COUNTIF($B$2:$B90,$B90)=1,"新規","リピート"))</f>
        <v/>
      </c>
    </row>
    <row r="91" customFormat="false" ht="15" hidden="false" customHeight="false" outlineLevel="0" collapsed="false">
      <c r="A91" s="43"/>
      <c r="B91" s="43"/>
      <c r="C91" s="43"/>
      <c r="D91" s="43"/>
      <c r="E91" s="44"/>
      <c r="F91" s="28" t="str">
        <f aca="false">IF($B91="","",IF(COUNTIF($B$2:$B91,$B91)=1,"新規","リピート"))</f>
        <v/>
      </c>
    </row>
    <row r="92" customFormat="false" ht="15" hidden="false" customHeight="false" outlineLevel="0" collapsed="false">
      <c r="A92" s="43"/>
      <c r="B92" s="43"/>
      <c r="C92" s="43"/>
      <c r="D92" s="43"/>
      <c r="E92" s="44"/>
      <c r="F92" s="28" t="str">
        <f aca="false">IF($B92="","",IF(COUNTIF($B$2:$B92,$B92)=1,"新規","リピート"))</f>
        <v/>
      </c>
    </row>
    <row r="93" customFormat="false" ht="15" hidden="false" customHeight="false" outlineLevel="0" collapsed="false">
      <c r="A93" s="43"/>
      <c r="B93" s="43"/>
      <c r="C93" s="43"/>
      <c r="D93" s="43"/>
      <c r="E93" s="44"/>
      <c r="F93" s="28" t="str">
        <f aca="false">IF($B93="","",IF(COUNTIF($B$2:$B93,$B93)=1,"新規","リピート"))</f>
        <v/>
      </c>
    </row>
    <row r="94" customFormat="false" ht="15" hidden="false" customHeight="false" outlineLevel="0" collapsed="false">
      <c r="A94" s="43"/>
      <c r="B94" s="43"/>
      <c r="C94" s="43"/>
      <c r="D94" s="43"/>
      <c r="E94" s="44"/>
      <c r="F94" s="28" t="str">
        <f aca="false">IF($B94="","",IF(COUNTIF($B$2:$B94,$B94)=1,"新規","リピート"))</f>
        <v/>
      </c>
    </row>
    <row r="95" customFormat="false" ht="15" hidden="false" customHeight="false" outlineLevel="0" collapsed="false">
      <c r="A95" s="43"/>
      <c r="B95" s="43"/>
      <c r="C95" s="43"/>
      <c r="D95" s="43"/>
      <c r="E95" s="44"/>
      <c r="F95" s="28" t="str">
        <f aca="false">IF($B95="","",IF(COUNTIF($B$2:$B95,$B95)=1,"新規","リピート"))</f>
        <v/>
      </c>
    </row>
    <row r="96" customFormat="false" ht="15" hidden="false" customHeight="false" outlineLevel="0" collapsed="false">
      <c r="A96" s="43"/>
      <c r="B96" s="43"/>
      <c r="C96" s="43"/>
      <c r="D96" s="43"/>
      <c r="E96" s="44"/>
      <c r="F96" s="28" t="str">
        <f aca="false">IF($B96="","",IF(COUNTIF($B$2:$B96,$B96)=1,"新規","リピート"))</f>
        <v/>
      </c>
    </row>
    <row r="97" customFormat="false" ht="15" hidden="false" customHeight="false" outlineLevel="0" collapsed="false">
      <c r="A97" s="43"/>
      <c r="B97" s="43"/>
      <c r="C97" s="43"/>
      <c r="D97" s="43"/>
      <c r="E97" s="44"/>
      <c r="F97" s="28" t="str">
        <f aca="false">IF($B97="","",IF(COUNTIF($B$2:$B97,$B97)=1,"新規","リピート"))</f>
        <v/>
      </c>
    </row>
    <row r="98" customFormat="false" ht="15" hidden="false" customHeight="false" outlineLevel="0" collapsed="false">
      <c r="A98" s="43"/>
      <c r="B98" s="43"/>
      <c r="C98" s="43"/>
      <c r="D98" s="43"/>
      <c r="E98" s="44"/>
      <c r="F98" s="28" t="str">
        <f aca="false">IF($B98="","",IF(COUNTIF($B$2:$B98,$B98)=1,"新規","リピート"))</f>
        <v/>
      </c>
    </row>
    <row r="99" customFormat="false" ht="15" hidden="false" customHeight="false" outlineLevel="0" collapsed="false">
      <c r="A99" s="43"/>
      <c r="B99" s="43"/>
      <c r="C99" s="43"/>
      <c r="D99" s="43"/>
      <c r="E99" s="44"/>
      <c r="F99" s="28" t="str">
        <f aca="false">IF($B99="","",IF(COUNTIF($B$2:$B99,$B99)=1,"新規","リピート"))</f>
        <v/>
      </c>
    </row>
    <row r="100" customFormat="false" ht="15" hidden="false" customHeight="false" outlineLevel="0" collapsed="false">
      <c r="A100" s="43"/>
      <c r="B100" s="43"/>
      <c r="C100" s="43"/>
      <c r="D100" s="43"/>
      <c r="E100" s="44"/>
      <c r="F100" s="28" t="str">
        <f aca="false">IF($B100="","",IF(COUNTIF($B$2:$B100,$B100)=1,"新規","リピート"))</f>
        <v/>
      </c>
    </row>
    <row r="101" customFormat="false" ht="15" hidden="false" customHeight="false" outlineLevel="0" collapsed="false">
      <c r="A101" s="43"/>
      <c r="B101" s="43"/>
      <c r="C101" s="43"/>
      <c r="D101" s="43"/>
      <c r="E101" s="44"/>
      <c r="F101" s="28" t="str">
        <f aca="false">IF($B101="","",IF(COUNTIF($B$2:$B101,$B101)=1,"新規","リピート"))</f>
        <v/>
      </c>
    </row>
    <row r="102" customFormat="false" ht="15" hidden="false" customHeight="false" outlineLevel="0" collapsed="false">
      <c r="A102" s="43"/>
      <c r="B102" s="43"/>
      <c r="C102" s="43"/>
      <c r="D102" s="43"/>
      <c r="E102" s="44"/>
      <c r="F102" s="28" t="str">
        <f aca="false">IF($B102="","",IF(COUNTIF($B$2:$B102,$B102)=1,"新規","リピート"))</f>
        <v/>
      </c>
    </row>
    <row r="103" customFormat="false" ht="15" hidden="false" customHeight="false" outlineLevel="0" collapsed="false">
      <c r="A103" s="43"/>
      <c r="B103" s="43"/>
      <c r="C103" s="43"/>
      <c r="D103" s="43"/>
      <c r="E103" s="44"/>
      <c r="F103" s="28" t="str">
        <f aca="false">IF($B103="","",IF(COUNTIF($B$2:$B103,$B103)=1,"新規","リピート"))</f>
        <v/>
      </c>
    </row>
    <row r="104" customFormat="false" ht="15" hidden="false" customHeight="false" outlineLevel="0" collapsed="false">
      <c r="A104" s="43"/>
      <c r="B104" s="43"/>
      <c r="C104" s="43"/>
      <c r="D104" s="43"/>
      <c r="E104" s="44"/>
      <c r="F104" s="28" t="str">
        <f aca="false">IF($B104="","",IF(COUNTIF($B$2:$B104,$B104)=1,"新規","リピート"))</f>
        <v/>
      </c>
    </row>
    <row r="105" customFormat="false" ht="15" hidden="false" customHeight="false" outlineLevel="0" collapsed="false">
      <c r="A105" s="43"/>
      <c r="B105" s="43"/>
      <c r="C105" s="43"/>
      <c r="D105" s="43"/>
      <c r="E105" s="44"/>
      <c r="F105" s="28" t="str">
        <f aca="false">IF($B105="","",IF(COUNTIF($B$2:$B105,$B105)=1,"新規","リピート"))</f>
        <v/>
      </c>
    </row>
    <row r="106" customFormat="false" ht="15" hidden="false" customHeight="false" outlineLevel="0" collapsed="false">
      <c r="A106" s="43"/>
      <c r="B106" s="43"/>
      <c r="C106" s="43"/>
      <c r="D106" s="43"/>
      <c r="E106" s="44"/>
      <c r="F106" s="28" t="str">
        <f aca="false">IF($B106="","",IF(COUNTIF($B$2:$B106,$B106)=1,"新規","リピート"))</f>
        <v/>
      </c>
    </row>
    <row r="107" customFormat="false" ht="15" hidden="false" customHeight="false" outlineLevel="0" collapsed="false">
      <c r="A107" s="43"/>
      <c r="B107" s="43"/>
      <c r="C107" s="43"/>
      <c r="D107" s="43"/>
      <c r="E107" s="44"/>
      <c r="F107" s="28" t="str">
        <f aca="false">IF($B107="","",IF(COUNTIF($B$2:$B107,$B107)=1,"新規","リピート"))</f>
        <v/>
      </c>
    </row>
    <row r="108" customFormat="false" ht="15" hidden="false" customHeight="false" outlineLevel="0" collapsed="false">
      <c r="A108" s="43"/>
      <c r="B108" s="43"/>
      <c r="C108" s="43"/>
      <c r="D108" s="43"/>
      <c r="E108" s="44"/>
      <c r="F108" s="28" t="str">
        <f aca="false">IF($B108="","",IF(COUNTIF($B$2:$B108,$B108)=1,"新規","リピート"))</f>
        <v/>
      </c>
    </row>
    <row r="109" customFormat="false" ht="15" hidden="false" customHeight="false" outlineLevel="0" collapsed="false">
      <c r="A109" s="43"/>
      <c r="B109" s="43"/>
      <c r="C109" s="43"/>
      <c r="D109" s="43"/>
      <c r="E109" s="44"/>
      <c r="F109" s="28" t="str">
        <f aca="false">IF($B109="","",IF(COUNTIF($B$2:$B109,$B109)=1,"新規","リピート"))</f>
        <v/>
      </c>
    </row>
    <row r="110" customFormat="false" ht="15" hidden="false" customHeight="false" outlineLevel="0" collapsed="false">
      <c r="A110" s="43"/>
      <c r="B110" s="43"/>
      <c r="C110" s="43"/>
      <c r="D110" s="43"/>
      <c r="E110" s="44"/>
      <c r="F110" s="28" t="str">
        <f aca="false">IF($B110="","",IF(COUNTIF($B$2:$B110,$B110)=1,"新規","リピート"))</f>
        <v/>
      </c>
    </row>
    <row r="111" customFormat="false" ht="15" hidden="false" customHeight="false" outlineLevel="0" collapsed="false">
      <c r="A111" s="43"/>
      <c r="B111" s="43"/>
      <c r="C111" s="43"/>
      <c r="D111" s="43"/>
      <c r="E111" s="44"/>
      <c r="F111" s="28" t="str">
        <f aca="false">IF($B111="","",IF(COUNTIF($B$2:$B111,$B111)=1,"新規","リピート"))</f>
        <v/>
      </c>
    </row>
    <row r="112" customFormat="false" ht="15" hidden="false" customHeight="false" outlineLevel="0" collapsed="false">
      <c r="A112" s="43"/>
      <c r="B112" s="43"/>
      <c r="C112" s="43"/>
      <c r="D112" s="43"/>
      <c r="E112" s="44"/>
      <c r="F112" s="28" t="str">
        <f aca="false">IF($B112="","",IF(COUNTIF($B$2:$B112,$B112)=1,"新規","リピート"))</f>
        <v/>
      </c>
    </row>
    <row r="113" customFormat="false" ht="15" hidden="false" customHeight="false" outlineLevel="0" collapsed="false">
      <c r="A113" s="43"/>
      <c r="B113" s="43"/>
      <c r="C113" s="43"/>
      <c r="D113" s="43"/>
      <c r="E113" s="44"/>
      <c r="F113" s="28" t="str">
        <f aca="false">IF($B113="","",IF(COUNTIF($B$2:$B113,$B113)=1,"新規","リピート"))</f>
        <v/>
      </c>
    </row>
    <row r="114" customFormat="false" ht="15" hidden="false" customHeight="false" outlineLevel="0" collapsed="false">
      <c r="A114" s="43"/>
      <c r="B114" s="43"/>
      <c r="C114" s="43"/>
      <c r="D114" s="43"/>
      <c r="E114" s="44"/>
      <c r="F114" s="28" t="str">
        <f aca="false">IF($B114="","",IF(COUNTIF($B$2:$B114,$B114)=1,"新規","リピート"))</f>
        <v/>
      </c>
    </row>
    <row r="115" customFormat="false" ht="15" hidden="false" customHeight="false" outlineLevel="0" collapsed="false">
      <c r="A115" s="43"/>
      <c r="B115" s="43"/>
      <c r="C115" s="43"/>
      <c r="D115" s="43"/>
      <c r="E115" s="44"/>
      <c r="F115" s="28" t="str">
        <f aca="false">IF($B115="","",IF(COUNTIF($B$2:$B115,$B115)=1,"新規","リピート"))</f>
        <v/>
      </c>
    </row>
    <row r="116" customFormat="false" ht="15" hidden="false" customHeight="false" outlineLevel="0" collapsed="false">
      <c r="A116" s="43"/>
      <c r="B116" s="43"/>
      <c r="C116" s="43"/>
      <c r="D116" s="43"/>
      <c r="E116" s="44"/>
      <c r="F116" s="28" t="str">
        <f aca="false">IF($B116="","",IF(COUNTIF($B$2:$B116,$B116)=1,"新規","リピート"))</f>
        <v/>
      </c>
    </row>
    <row r="117" customFormat="false" ht="15" hidden="false" customHeight="false" outlineLevel="0" collapsed="false">
      <c r="A117" s="43"/>
      <c r="B117" s="43"/>
      <c r="C117" s="43"/>
      <c r="D117" s="43"/>
      <c r="E117" s="44"/>
      <c r="F117" s="28" t="str">
        <f aca="false">IF($B117="","",IF(COUNTIF($B$2:$B117,$B117)=1,"新規","リピート"))</f>
        <v/>
      </c>
    </row>
    <row r="118" customFormat="false" ht="15" hidden="false" customHeight="false" outlineLevel="0" collapsed="false">
      <c r="A118" s="43"/>
      <c r="B118" s="43"/>
      <c r="C118" s="43"/>
      <c r="D118" s="43"/>
      <c r="E118" s="44"/>
      <c r="F118" s="28" t="str">
        <f aca="false">IF($B118="","",IF(COUNTIF($B$2:$B118,$B118)=1,"新規","リピート"))</f>
        <v/>
      </c>
    </row>
    <row r="119" customFormat="false" ht="15" hidden="false" customHeight="false" outlineLevel="0" collapsed="false">
      <c r="A119" s="43"/>
      <c r="B119" s="43"/>
      <c r="C119" s="43"/>
      <c r="D119" s="43"/>
      <c r="E119" s="44"/>
      <c r="F119" s="28" t="str">
        <f aca="false">IF($B119="","",IF(COUNTIF($B$2:$B119,$B119)=1,"新規","リピート"))</f>
        <v/>
      </c>
    </row>
    <row r="120" customFormat="false" ht="15" hidden="false" customHeight="false" outlineLevel="0" collapsed="false">
      <c r="A120" s="43"/>
      <c r="B120" s="43"/>
      <c r="C120" s="43"/>
      <c r="D120" s="43"/>
      <c r="E120" s="44"/>
      <c r="F120" s="28" t="str">
        <f aca="false">IF($B120="","",IF(COUNTIF($B$2:$B120,$B120)=1,"新規","リピート"))</f>
        <v/>
      </c>
    </row>
    <row r="121" customFormat="false" ht="15" hidden="false" customHeight="false" outlineLevel="0" collapsed="false">
      <c r="A121" s="43"/>
      <c r="B121" s="43"/>
      <c r="C121" s="43"/>
      <c r="D121" s="43"/>
      <c r="E121" s="44"/>
      <c r="F121" s="28" t="str">
        <f aca="false">IF($B121="","",IF(COUNTIF($B$2:$B121,$B121)=1,"新規","リピート"))</f>
        <v/>
      </c>
    </row>
    <row r="122" customFormat="false" ht="15" hidden="false" customHeight="false" outlineLevel="0" collapsed="false">
      <c r="A122" s="43"/>
      <c r="B122" s="43"/>
      <c r="C122" s="43"/>
      <c r="D122" s="43"/>
      <c r="E122" s="44"/>
      <c r="F122" s="28" t="str">
        <f aca="false">IF($B122="","",IF(COUNTIF($B$2:$B122,$B122)=1,"新規","リピート"))</f>
        <v/>
      </c>
    </row>
    <row r="123" customFormat="false" ht="15" hidden="false" customHeight="false" outlineLevel="0" collapsed="false">
      <c r="A123" s="43"/>
      <c r="B123" s="43"/>
      <c r="C123" s="43"/>
      <c r="D123" s="43"/>
      <c r="E123" s="44"/>
      <c r="F123" s="28" t="str">
        <f aca="false">IF($B123="","",IF(COUNTIF($B$2:$B123,$B123)=1,"新規","リピート"))</f>
        <v/>
      </c>
    </row>
    <row r="124" customFormat="false" ht="15" hidden="false" customHeight="false" outlineLevel="0" collapsed="false">
      <c r="A124" s="43"/>
      <c r="B124" s="43"/>
      <c r="C124" s="43"/>
      <c r="D124" s="43"/>
      <c r="E124" s="44"/>
      <c r="F124" s="28" t="str">
        <f aca="false">IF($B124="","",IF(COUNTIF($B$2:$B124,$B124)=1,"新規","リピート"))</f>
        <v/>
      </c>
    </row>
    <row r="125" customFormat="false" ht="15" hidden="false" customHeight="false" outlineLevel="0" collapsed="false">
      <c r="A125" s="43"/>
      <c r="B125" s="43"/>
      <c r="C125" s="43"/>
      <c r="D125" s="43"/>
      <c r="E125" s="44"/>
      <c r="F125" s="28" t="str">
        <f aca="false">IF($B125="","",IF(COUNTIF($B$2:$B125,$B125)=1,"新規","リピート"))</f>
        <v/>
      </c>
    </row>
    <row r="126" customFormat="false" ht="15" hidden="false" customHeight="false" outlineLevel="0" collapsed="false">
      <c r="A126" s="43"/>
      <c r="B126" s="43"/>
      <c r="C126" s="43"/>
      <c r="D126" s="43"/>
      <c r="E126" s="44"/>
      <c r="F126" s="28" t="str">
        <f aca="false">IF($B126="","",IF(COUNTIF($B$2:$B126,$B126)=1,"新規","リピート"))</f>
        <v/>
      </c>
    </row>
    <row r="127" customFormat="false" ht="15" hidden="false" customHeight="false" outlineLevel="0" collapsed="false">
      <c r="A127" s="43"/>
      <c r="B127" s="43"/>
      <c r="C127" s="43"/>
      <c r="D127" s="43"/>
      <c r="E127" s="44"/>
      <c r="F127" s="28" t="str">
        <f aca="false">IF($B127="","",IF(COUNTIF($B$2:$B127,$B127)=1,"新規","リピート"))</f>
        <v/>
      </c>
    </row>
    <row r="128" customFormat="false" ht="15" hidden="false" customHeight="false" outlineLevel="0" collapsed="false">
      <c r="A128" s="43"/>
      <c r="B128" s="43"/>
      <c r="C128" s="43"/>
      <c r="D128" s="43"/>
      <c r="E128" s="44"/>
      <c r="F128" s="28" t="str">
        <f aca="false">IF($B128="","",IF(COUNTIF($B$2:$B128,$B128)=1,"新規","リピート"))</f>
        <v/>
      </c>
    </row>
    <row r="129" customFormat="false" ht="15" hidden="false" customHeight="false" outlineLevel="0" collapsed="false">
      <c r="A129" s="43"/>
      <c r="B129" s="43"/>
      <c r="C129" s="43"/>
      <c r="D129" s="43"/>
      <c r="E129" s="44"/>
      <c r="F129" s="28" t="str">
        <f aca="false">IF($B129="","",IF(COUNTIF($B$2:$B129,$B129)=1,"新規","リピート"))</f>
        <v/>
      </c>
    </row>
    <row r="130" customFormat="false" ht="15" hidden="false" customHeight="false" outlineLevel="0" collapsed="false">
      <c r="A130" s="43"/>
      <c r="B130" s="43"/>
      <c r="C130" s="43"/>
      <c r="D130" s="43"/>
      <c r="E130" s="44"/>
      <c r="F130" s="28" t="str">
        <f aca="false">IF($B130="","",IF(COUNTIF($B$2:$B130,$B130)=1,"新規","リピート"))</f>
        <v/>
      </c>
    </row>
    <row r="131" customFormat="false" ht="15" hidden="false" customHeight="false" outlineLevel="0" collapsed="false">
      <c r="A131" s="43"/>
      <c r="B131" s="43"/>
      <c r="C131" s="43"/>
      <c r="D131" s="43"/>
      <c r="E131" s="44"/>
      <c r="F131" s="28" t="str">
        <f aca="false">IF($B131="","",IF(COUNTIF($B$2:$B131,$B131)=1,"新規","リピート"))</f>
        <v/>
      </c>
    </row>
    <row r="132" customFormat="false" ht="15" hidden="false" customHeight="false" outlineLevel="0" collapsed="false">
      <c r="A132" s="43"/>
      <c r="B132" s="43"/>
      <c r="C132" s="43"/>
      <c r="D132" s="43"/>
      <c r="E132" s="44"/>
      <c r="F132" s="28" t="str">
        <f aca="false">IF($B132="","",IF(COUNTIF($B$2:$B132,$B132)=1,"新規","リピート"))</f>
        <v/>
      </c>
    </row>
    <row r="133" customFormat="false" ht="15" hidden="false" customHeight="false" outlineLevel="0" collapsed="false">
      <c r="A133" s="43"/>
      <c r="B133" s="43"/>
      <c r="C133" s="43"/>
      <c r="D133" s="43"/>
      <c r="E133" s="44"/>
      <c r="F133" s="28" t="str">
        <f aca="false">IF($B133="","",IF(COUNTIF($B$2:$B133,$B133)=1,"新規","リピート"))</f>
        <v/>
      </c>
    </row>
    <row r="134" customFormat="false" ht="15" hidden="false" customHeight="false" outlineLevel="0" collapsed="false">
      <c r="A134" s="43"/>
      <c r="B134" s="43"/>
      <c r="C134" s="43"/>
      <c r="D134" s="43"/>
      <c r="E134" s="44"/>
      <c r="F134" s="28" t="str">
        <f aca="false">IF($B134="","",IF(COUNTIF($B$2:$B134,$B134)=1,"新規","リピート"))</f>
        <v/>
      </c>
    </row>
    <row r="135" customFormat="false" ht="15" hidden="false" customHeight="false" outlineLevel="0" collapsed="false">
      <c r="A135" s="43"/>
      <c r="B135" s="43"/>
      <c r="C135" s="43"/>
      <c r="D135" s="43"/>
      <c r="E135" s="44"/>
      <c r="F135" s="28" t="str">
        <f aca="false">IF($B135="","",IF(COUNTIF($B$2:$B135,$B135)=1,"新規","リピート"))</f>
        <v/>
      </c>
    </row>
    <row r="136" customFormat="false" ht="15" hidden="false" customHeight="false" outlineLevel="0" collapsed="false">
      <c r="A136" s="43"/>
      <c r="B136" s="43"/>
      <c r="C136" s="43"/>
      <c r="D136" s="43"/>
      <c r="E136" s="44"/>
      <c r="F136" s="28" t="str">
        <f aca="false">IF($B136="","",IF(COUNTIF($B$2:$B136,$B136)=1,"新規","リピート"))</f>
        <v/>
      </c>
    </row>
    <row r="137" customFormat="false" ht="15" hidden="false" customHeight="false" outlineLevel="0" collapsed="false">
      <c r="A137" s="43"/>
      <c r="B137" s="43"/>
      <c r="C137" s="43"/>
      <c r="D137" s="43"/>
      <c r="E137" s="44"/>
      <c r="F137" s="28" t="str">
        <f aca="false">IF($B137="","",IF(COUNTIF($B$2:$B137,$B137)=1,"新規","リピート"))</f>
        <v/>
      </c>
    </row>
    <row r="138" customFormat="false" ht="15" hidden="false" customHeight="false" outlineLevel="0" collapsed="false">
      <c r="A138" s="43"/>
      <c r="B138" s="43"/>
      <c r="C138" s="43"/>
      <c r="D138" s="43"/>
      <c r="E138" s="44"/>
      <c r="F138" s="28" t="str">
        <f aca="false">IF($B138="","",IF(COUNTIF($B$2:$B138,$B138)=1,"新規","リピート"))</f>
        <v/>
      </c>
    </row>
    <row r="139" customFormat="false" ht="15" hidden="false" customHeight="false" outlineLevel="0" collapsed="false">
      <c r="A139" s="43"/>
      <c r="B139" s="43"/>
      <c r="C139" s="43"/>
      <c r="D139" s="43"/>
      <c r="E139" s="44"/>
      <c r="F139" s="28" t="str">
        <f aca="false">IF($B139="","",IF(COUNTIF($B$2:$B139,$B139)=1,"新規","リピート"))</f>
        <v/>
      </c>
    </row>
    <row r="140" customFormat="false" ht="15" hidden="false" customHeight="false" outlineLevel="0" collapsed="false">
      <c r="A140" s="43"/>
      <c r="B140" s="43"/>
      <c r="C140" s="43"/>
      <c r="D140" s="43"/>
      <c r="E140" s="44"/>
      <c r="F140" s="28" t="str">
        <f aca="false">IF($B140="","",IF(COUNTIF($B$2:$B140,$B140)=1,"新規","リピート"))</f>
        <v/>
      </c>
    </row>
    <row r="141" customFormat="false" ht="15" hidden="false" customHeight="false" outlineLevel="0" collapsed="false">
      <c r="A141" s="43"/>
      <c r="B141" s="43"/>
      <c r="C141" s="43"/>
      <c r="D141" s="43"/>
      <c r="E141" s="44"/>
      <c r="F141" s="28" t="str">
        <f aca="false">IF($B141="","",IF(COUNTIF($B$2:$B141,$B141)=1,"新規","リピート"))</f>
        <v/>
      </c>
    </row>
    <row r="142" customFormat="false" ht="15" hidden="false" customHeight="false" outlineLevel="0" collapsed="false">
      <c r="A142" s="43"/>
      <c r="B142" s="43"/>
      <c r="C142" s="43"/>
      <c r="D142" s="43"/>
      <c r="E142" s="44"/>
      <c r="F142" s="28" t="str">
        <f aca="false">IF($B142="","",IF(COUNTIF($B$2:$B142,$B142)=1,"新規","リピート"))</f>
        <v/>
      </c>
    </row>
    <row r="143" customFormat="false" ht="15" hidden="false" customHeight="false" outlineLevel="0" collapsed="false">
      <c r="A143" s="43"/>
      <c r="B143" s="43"/>
      <c r="C143" s="43"/>
      <c r="D143" s="43"/>
      <c r="E143" s="44"/>
      <c r="F143" s="28" t="str">
        <f aca="false">IF($B143="","",IF(COUNTIF($B$2:$B143,$B143)=1,"新規","リピート"))</f>
        <v/>
      </c>
    </row>
    <row r="144" customFormat="false" ht="15" hidden="false" customHeight="false" outlineLevel="0" collapsed="false">
      <c r="A144" s="43"/>
      <c r="B144" s="43"/>
      <c r="C144" s="43"/>
      <c r="D144" s="43"/>
      <c r="E144" s="44"/>
      <c r="F144" s="28" t="str">
        <f aca="false">IF($B144="","",IF(COUNTIF($B$2:$B144,$B144)=1,"新規","リピート"))</f>
        <v/>
      </c>
    </row>
    <row r="145" customFormat="false" ht="15" hidden="false" customHeight="false" outlineLevel="0" collapsed="false">
      <c r="A145" s="43"/>
      <c r="B145" s="43"/>
      <c r="C145" s="43"/>
      <c r="D145" s="43"/>
      <c r="E145" s="44"/>
      <c r="F145" s="28" t="str">
        <f aca="false">IF($B145="","",IF(COUNTIF($B$2:$B145,$B145)=1,"新規","リピート"))</f>
        <v/>
      </c>
    </row>
    <row r="146" customFormat="false" ht="15" hidden="false" customHeight="false" outlineLevel="0" collapsed="false">
      <c r="A146" s="43"/>
      <c r="B146" s="43"/>
      <c r="C146" s="43"/>
      <c r="D146" s="43"/>
      <c r="E146" s="44"/>
      <c r="F146" s="28" t="str">
        <f aca="false">IF($B146="","",IF(COUNTIF($B$2:$B146,$B146)=1,"新規","リピート"))</f>
        <v/>
      </c>
    </row>
    <row r="147" customFormat="false" ht="15" hidden="false" customHeight="false" outlineLevel="0" collapsed="false">
      <c r="A147" s="43"/>
      <c r="B147" s="43"/>
      <c r="C147" s="43"/>
      <c r="D147" s="43"/>
      <c r="E147" s="44"/>
      <c r="F147" s="28" t="str">
        <f aca="false">IF($B147="","",IF(COUNTIF($B$2:$B147,$B147)=1,"新規","リピート"))</f>
        <v/>
      </c>
    </row>
    <row r="148" customFormat="false" ht="15" hidden="false" customHeight="false" outlineLevel="0" collapsed="false">
      <c r="A148" s="43"/>
      <c r="B148" s="43"/>
      <c r="C148" s="43"/>
      <c r="D148" s="43"/>
      <c r="E148" s="44"/>
      <c r="F148" s="28" t="str">
        <f aca="false">IF($B148="","",IF(COUNTIF($B$2:$B148,$B148)=1,"新規","リピート"))</f>
        <v/>
      </c>
    </row>
    <row r="149" customFormat="false" ht="15" hidden="false" customHeight="false" outlineLevel="0" collapsed="false">
      <c r="A149" s="43"/>
      <c r="B149" s="43"/>
      <c r="C149" s="43"/>
      <c r="D149" s="43"/>
      <c r="E149" s="44"/>
      <c r="F149" s="28" t="str">
        <f aca="false">IF($B149="","",IF(COUNTIF($B$2:$B149,$B149)=1,"新規","リピート"))</f>
        <v/>
      </c>
    </row>
    <row r="150" customFormat="false" ht="15" hidden="false" customHeight="false" outlineLevel="0" collapsed="false">
      <c r="A150" s="43"/>
      <c r="B150" s="43"/>
      <c r="C150" s="43"/>
      <c r="D150" s="43"/>
      <c r="E150" s="44"/>
      <c r="F150" s="28" t="str">
        <f aca="false">IF($B150="","",IF(COUNTIF($B$2:$B150,$B150)=1,"新規","リピート"))</f>
        <v/>
      </c>
    </row>
    <row r="151" customFormat="false" ht="15" hidden="false" customHeight="false" outlineLevel="0" collapsed="false">
      <c r="A151" s="43"/>
      <c r="B151" s="43"/>
      <c r="C151" s="43"/>
      <c r="D151" s="43"/>
      <c r="E151" s="44"/>
      <c r="F151" s="28" t="str">
        <f aca="false">IF($B151="","",IF(COUNTIF($B$2:$B151,$B151)=1,"新規","リピート"))</f>
        <v/>
      </c>
    </row>
    <row r="152" customFormat="false" ht="15" hidden="false" customHeight="false" outlineLevel="0" collapsed="false">
      <c r="A152" s="43"/>
      <c r="B152" s="43"/>
      <c r="C152" s="43"/>
      <c r="D152" s="43"/>
      <c r="E152" s="44"/>
      <c r="F152" s="28" t="str">
        <f aca="false">IF($B152="","",IF(COUNTIF($B$2:$B152,$B152)=1,"新規","リピート"))</f>
        <v/>
      </c>
    </row>
    <row r="153" customFormat="false" ht="15" hidden="false" customHeight="false" outlineLevel="0" collapsed="false">
      <c r="A153" s="43"/>
      <c r="B153" s="43"/>
      <c r="C153" s="43"/>
      <c r="D153" s="43"/>
      <c r="E153" s="44"/>
      <c r="F153" s="28" t="str">
        <f aca="false">IF($B153="","",IF(COUNTIF($B$2:$B153,$B153)=1,"新規","リピート"))</f>
        <v/>
      </c>
    </row>
    <row r="154" customFormat="false" ht="15" hidden="false" customHeight="false" outlineLevel="0" collapsed="false">
      <c r="A154" s="43"/>
      <c r="B154" s="43"/>
      <c r="C154" s="43"/>
      <c r="D154" s="43"/>
      <c r="E154" s="44"/>
      <c r="F154" s="28" t="str">
        <f aca="false">IF($B154="","",IF(COUNTIF($B$2:$B154,$B154)=1,"新規","リピート"))</f>
        <v/>
      </c>
    </row>
    <row r="155" customFormat="false" ht="15" hidden="false" customHeight="false" outlineLevel="0" collapsed="false">
      <c r="A155" s="43"/>
      <c r="B155" s="43"/>
      <c r="C155" s="43"/>
      <c r="D155" s="43"/>
      <c r="E155" s="44"/>
      <c r="F155" s="28" t="str">
        <f aca="false">IF($B155="","",IF(COUNTIF($B$2:$B155,$B155)=1,"新規","リピート"))</f>
        <v/>
      </c>
    </row>
    <row r="156" customFormat="false" ht="15" hidden="false" customHeight="false" outlineLevel="0" collapsed="false">
      <c r="A156" s="43"/>
      <c r="B156" s="43"/>
      <c r="C156" s="43"/>
      <c r="D156" s="43"/>
      <c r="E156" s="44"/>
      <c r="F156" s="28" t="str">
        <f aca="false">IF($B156="","",IF(COUNTIF($B$2:$B156,$B156)=1,"新規","リピート"))</f>
        <v/>
      </c>
    </row>
    <row r="157" customFormat="false" ht="15" hidden="false" customHeight="false" outlineLevel="0" collapsed="false">
      <c r="A157" s="43"/>
      <c r="B157" s="43"/>
      <c r="C157" s="43"/>
      <c r="D157" s="43"/>
      <c r="E157" s="44"/>
      <c r="F157" s="28" t="str">
        <f aca="false">IF($B157="","",IF(COUNTIF($B$2:$B157,$B157)=1,"新規","リピート"))</f>
        <v/>
      </c>
    </row>
    <row r="158" customFormat="false" ht="15" hidden="false" customHeight="false" outlineLevel="0" collapsed="false">
      <c r="A158" s="43"/>
      <c r="B158" s="43"/>
      <c r="C158" s="43"/>
      <c r="D158" s="43"/>
      <c r="E158" s="44"/>
      <c r="F158" s="28" t="str">
        <f aca="false">IF($B158="","",IF(COUNTIF($B$2:$B158,$B158)=1,"新規","リピート"))</f>
        <v/>
      </c>
    </row>
    <row r="159" customFormat="false" ht="15" hidden="false" customHeight="false" outlineLevel="0" collapsed="false">
      <c r="A159" s="43"/>
      <c r="B159" s="43"/>
      <c r="C159" s="43"/>
      <c r="D159" s="43"/>
      <c r="E159" s="44"/>
      <c r="F159" s="28" t="str">
        <f aca="false">IF($B159="","",IF(COUNTIF($B$2:$B159,$B159)=1,"新規","リピート"))</f>
        <v/>
      </c>
    </row>
    <row r="160" customFormat="false" ht="15" hidden="false" customHeight="false" outlineLevel="0" collapsed="false">
      <c r="A160" s="43"/>
      <c r="B160" s="43"/>
      <c r="C160" s="43"/>
      <c r="D160" s="43"/>
      <c r="E160" s="44"/>
      <c r="F160" s="28" t="str">
        <f aca="false">IF($B160="","",IF(COUNTIF($B$2:$B160,$B160)=1,"新規","リピート"))</f>
        <v/>
      </c>
    </row>
    <row r="161" customFormat="false" ht="15" hidden="false" customHeight="false" outlineLevel="0" collapsed="false">
      <c r="A161" s="43"/>
      <c r="B161" s="43"/>
      <c r="C161" s="43"/>
      <c r="D161" s="43"/>
      <c r="E161" s="44"/>
      <c r="F161" s="28" t="str">
        <f aca="false">IF($B161="","",IF(COUNTIF($B$2:$B161,$B161)=1,"新規","リピート"))</f>
        <v/>
      </c>
    </row>
    <row r="162" customFormat="false" ht="15" hidden="false" customHeight="false" outlineLevel="0" collapsed="false">
      <c r="A162" s="43"/>
      <c r="B162" s="43"/>
      <c r="C162" s="43"/>
      <c r="D162" s="43"/>
      <c r="E162" s="44"/>
      <c r="F162" s="28" t="str">
        <f aca="false">IF($B162="","",IF(COUNTIF($B$2:$B162,$B162)=1,"新規","リピート"))</f>
        <v/>
      </c>
    </row>
    <row r="163" customFormat="false" ht="15" hidden="false" customHeight="false" outlineLevel="0" collapsed="false">
      <c r="A163" s="43"/>
      <c r="B163" s="43"/>
      <c r="C163" s="43"/>
      <c r="D163" s="43"/>
      <c r="E163" s="44"/>
      <c r="F163" s="28" t="str">
        <f aca="false">IF($B163="","",IF(COUNTIF($B$2:$B163,$B163)=1,"新規","リピート"))</f>
        <v/>
      </c>
    </row>
    <row r="164" customFormat="false" ht="15" hidden="false" customHeight="false" outlineLevel="0" collapsed="false">
      <c r="A164" s="43"/>
      <c r="B164" s="43"/>
      <c r="C164" s="43"/>
      <c r="D164" s="43"/>
      <c r="E164" s="44"/>
      <c r="F164" s="28" t="str">
        <f aca="false">IF($B164="","",IF(COUNTIF($B$2:$B164,$B164)=1,"新規","リピート"))</f>
        <v/>
      </c>
    </row>
    <row r="165" customFormat="false" ht="15" hidden="false" customHeight="false" outlineLevel="0" collapsed="false">
      <c r="A165" s="43"/>
      <c r="B165" s="43"/>
      <c r="C165" s="43"/>
      <c r="D165" s="43"/>
      <c r="E165" s="44"/>
      <c r="F165" s="28" t="str">
        <f aca="false">IF($B165="","",IF(COUNTIF($B$2:$B165,$B165)=1,"新規","リピート"))</f>
        <v/>
      </c>
    </row>
    <row r="166" customFormat="false" ht="15" hidden="false" customHeight="false" outlineLevel="0" collapsed="false">
      <c r="A166" s="43"/>
      <c r="B166" s="43"/>
      <c r="C166" s="43"/>
      <c r="D166" s="43"/>
      <c r="E166" s="44"/>
      <c r="F166" s="28" t="str">
        <f aca="false">IF($B166="","",IF(COUNTIF($B$2:$B166,$B166)=1,"新規","リピート"))</f>
        <v/>
      </c>
    </row>
    <row r="167" customFormat="false" ht="15" hidden="false" customHeight="false" outlineLevel="0" collapsed="false">
      <c r="A167" s="43"/>
      <c r="B167" s="43"/>
      <c r="C167" s="43"/>
      <c r="D167" s="43"/>
      <c r="E167" s="44"/>
      <c r="F167" s="28" t="str">
        <f aca="false">IF($B167="","",IF(COUNTIF($B$2:$B167,$B167)=1,"新規","リピート"))</f>
        <v/>
      </c>
    </row>
    <row r="168" customFormat="false" ht="15" hidden="false" customHeight="false" outlineLevel="0" collapsed="false">
      <c r="A168" s="43"/>
      <c r="B168" s="43"/>
      <c r="C168" s="43"/>
      <c r="D168" s="43"/>
      <c r="E168" s="44"/>
      <c r="F168" s="28" t="str">
        <f aca="false">IF($B168="","",IF(COUNTIF($B$2:$B168,$B168)=1,"新規","リピート"))</f>
        <v/>
      </c>
    </row>
    <row r="169" customFormat="false" ht="15" hidden="false" customHeight="false" outlineLevel="0" collapsed="false">
      <c r="A169" s="43"/>
      <c r="B169" s="43"/>
      <c r="C169" s="43"/>
      <c r="D169" s="43"/>
      <c r="E169" s="44"/>
      <c r="F169" s="28" t="str">
        <f aca="false">IF($B169="","",IF(COUNTIF($B$2:$B169,$B169)=1,"新規","リピート"))</f>
        <v/>
      </c>
    </row>
    <row r="170" customFormat="false" ht="15" hidden="false" customHeight="false" outlineLevel="0" collapsed="false">
      <c r="A170" s="43"/>
      <c r="B170" s="43"/>
      <c r="C170" s="43"/>
      <c r="D170" s="43"/>
      <c r="E170" s="44"/>
      <c r="F170" s="28" t="str">
        <f aca="false">IF($B170="","",IF(COUNTIF($B$2:$B170,$B170)=1,"新規","リピート"))</f>
        <v/>
      </c>
    </row>
    <row r="171" customFormat="false" ht="15" hidden="false" customHeight="false" outlineLevel="0" collapsed="false">
      <c r="A171" s="43"/>
      <c r="B171" s="43"/>
      <c r="C171" s="43"/>
      <c r="D171" s="43"/>
      <c r="E171" s="44"/>
      <c r="F171" s="28" t="str">
        <f aca="false">IF($B171="","",IF(COUNTIF($B$2:$B171,$B171)=1,"新規","リピート"))</f>
        <v/>
      </c>
    </row>
    <row r="172" customFormat="false" ht="15" hidden="false" customHeight="false" outlineLevel="0" collapsed="false">
      <c r="A172" s="43"/>
      <c r="B172" s="43"/>
      <c r="C172" s="43"/>
      <c r="D172" s="43"/>
      <c r="E172" s="44"/>
      <c r="F172" s="28" t="str">
        <f aca="false">IF($B172="","",IF(COUNTIF($B$2:$B172,$B172)=1,"新規","リピート"))</f>
        <v/>
      </c>
    </row>
    <row r="173" customFormat="false" ht="15" hidden="false" customHeight="false" outlineLevel="0" collapsed="false">
      <c r="A173" s="43"/>
      <c r="B173" s="43"/>
      <c r="C173" s="43"/>
      <c r="D173" s="43"/>
      <c r="E173" s="44"/>
      <c r="F173" s="28" t="str">
        <f aca="false">IF($B173="","",IF(COUNTIF($B$2:$B173,$B173)=1,"新規","リピート"))</f>
        <v/>
      </c>
    </row>
    <row r="174" customFormat="false" ht="15" hidden="false" customHeight="false" outlineLevel="0" collapsed="false">
      <c r="A174" s="43"/>
      <c r="B174" s="43"/>
      <c r="C174" s="43"/>
      <c r="D174" s="43"/>
      <c r="E174" s="44"/>
      <c r="F174" s="28" t="str">
        <f aca="false">IF($B174="","",IF(COUNTIF($B$2:$B174,$B174)=1,"新規","リピート"))</f>
        <v/>
      </c>
    </row>
    <row r="175" customFormat="false" ht="15" hidden="false" customHeight="false" outlineLevel="0" collapsed="false">
      <c r="A175" s="43"/>
      <c r="B175" s="43"/>
      <c r="C175" s="43"/>
      <c r="D175" s="43"/>
      <c r="E175" s="44"/>
      <c r="F175" s="28" t="str">
        <f aca="false">IF($B175="","",IF(COUNTIF($B$2:$B175,$B175)=1,"新規","リピート"))</f>
        <v/>
      </c>
    </row>
    <row r="176" customFormat="false" ht="15" hidden="false" customHeight="false" outlineLevel="0" collapsed="false">
      <c r="A176" s="43"/>
      <c r="B176" s="43"/>
      <c r="C176" s="43"/>
      <c r="D176" s="43"/>
      <c r="E176" s="44"/>
      <c r="F176" s="28" t="str">
        <f aca="false">IF($B176="","",IF(COUNTIF($B$2:$B176,$B176)=1,"新規","リピート"))</f>
        <v/>
      </c>
    </row>
    <row r="177" customFormat="false" ht="15" hidden="false" customHeight="false" outlineLevel="0" collapsed="false">
      <c r="A177" s="43"/>
      <c r="B177" s="43"/>
      <c r="C177" s="43"/>
      <c r="D177" s="43"/>
      <c r="E177" s="44"/>
      <c r="F177" s="28" t="str">
        <f aca="false">IF($B177="","",IF(COUNTIF($B$2:$B177,$B177)=1,"新規","リピート"))</f>
        <v/>
      </c>
    </row>
    <row r="178" customFormat="false" ht="15" hidden="false" customHeight="false" outlineLevel="0" collapsed="false">
      <c r="A178" s="43"/>
      <c r="B178" s="43"/>
      <c r="C178" s="43"/>
      <c r="D178" s="43"/>
      <c r="E178" s="44"/>
      <c r="F178" s="28" t="str">
        <f aca="false">IF($B178="","",IF(COUNTIF($B$2:$B178,$B178)=1,"新規","リピート"))</f>
        <v/>
      </c>
    </row>
    <row r="179" customFormat="false" ht="15" hidden="false" customHeight="false" outlineLevel="0" collapsed="false">
      <c r="A179" s="43"/>
      <c r="B179" s="43"/>
      <c r="C179" s="43"/>
      <c r="D179" s="43"/>
      <c r="E179" s="44"/>
      <c r="F179" s="28" t="str">
        <f aca="false">IF($B179="","",IF(COUNTIF($B$2:$B179,$B179)=1,"新規","リピート"))</f>
        <v/>
      </c>
    </row>
    <row r="180" customFormat="false" ht="15" hidden="false" customHeight="false" outlineLevel="0" collapsed="false">
      <c r="A180" s="43"/>
      <c r="B180" s="43"/>
      <c r="C180" s="43"/>
      <c r="D180" s="43"/>
      <c r="E180" s="44"/>
      <c r="F180" s="28" t="str">
        <f aca="false">IF($B180="","",IF(COUNTIF($B$2:$B180,$B180)=1,"新規","リピート"))</f>
        <v/>
      </c>
    </row>
    <row r="181" customFormat="false" ht="15" hidden="false" customHeight="false" outlineLevel="0" collapsed="false">
      <c r="A181" s="43"/>
      <c r="B181" s="43"/>
      <c r="C181" s="43"/>
      <c r="D181" s="43"/>
      <c r="E181" s="44"/>
      <c r="F181" s="28" t="str">
        <f aca="false">IF($B181="","",IF(COUNTIF($B$2:$B181,$B181)=1,"新規","リピート"))</f>
        <v/>
      </c>
    </row>
    <row r="182" customFormat="false" ht="15" hidden="false" customHeight="false" outlineLevel="0" collapsed="false">
      <c r="A182" s="43"/>
      <c r="B182" s="43"/>
      <c r="C182" s="43"/>
      <c r="D182" s="43"/>
      <c r="E182" s="44"/>
      <c r="F182" s="28" t="str">
        <f aca="false">IF($B182="","",IF(COUNTIF($B$2:$B182,$B182)=1,"新規","リピート"))</f>
        <v/>
      </c>
    </row>
    <row r="183" customFormat="false" ht="15" hidden="false" customHeight="false" outlineLevel="0" collapsed="false">
      <c r="A183" s="43"/>
      <c r="B183" s="43"/>
      <c r="C183" s="43"/>
      <c r="D183" s="43"/>
      <c r="E183" s="44"/>
      <c r="F183" s="28" t="str">
        <f aca="false">IF($B183="","",IF(COUNTIF($B$2:$B183,$B183)=1,"新規","リピート"))</f>
        <v/>
      </c>
    </row>
    <row r="184" customFormat="false" ht="15" hidden="false" customHeight="false" outlineLevel="0" collapsed="false">
      <c r="A184" s="43"/>
      <c r="B184" s="43"/>
      <c r="C184" s="43"/>
      <c r="D184" s="43"/>
      <c r="E184" s="44"/>
      <c r="F184" s="28" t="str">
        <f aca="false">IF($B184="","",IF(COUNTIF($B$2:$B184,$B184)=1,"新規","リピート"))</f>
        <v/>
      </c>
    </row>
    <row r="185" customFormat="false" ht="15" hidden="false" customHeight="false" outlineLevel="0" collapsed="false">
      <c r="A185" s="43"/>
      <c r="B185" s="43"/>
      <c r="C185" s="43"/>
      <c r="D185" s="43"/>
      <c r="E185" s="44"/>
      <c r="F185" s="28" t="str">
        <f aca="false">IF($B185="","",IF(COUNTIF($B$2:$B185,$B185)=1,"新規","リピート"))</f>
        <v/>
      </c>
    </row>
    <row r="186" customFormat="false" ht="15" hidden="false" customHeight="false" outlineLevel="0" collapsed="false">
      <c r="A186" s="43"/>
      <c r="B186" s="43"/>
      <c r="C186" s="43"/>
      <c r="D186" s="43"/>
      <c r="E186" s="44"/>
      <c r="F186" s="28" t="str">
        <f aca="false">IF($B186="","",IF(COUNTIF($B$2:$B186,$B186)=1,"新規","リピート"))</f>
        <v/>
      </c>
    </row>
    <row r="187" customFormat="false" ht="15" hidden="false" customHeight="false" outlineLevel="0" collapsed="false">
      <c r="A187" s="43"/>
      <c r="B187" s="43"/>
      <c r="C187" s="43"/>
      <c r="D187" s="43"/>
      <c r="E187" s="44"/>
      <c r="F187" s="28" t="str">
        <f aca="false">IF($B187="","",IF(COUNTIF($B$2:$B187,$B187)=1,"新規","リピート"))</f>
        <v/>
      </c>
    </row>
    <row r="188" customFormat="false" ht="15" hidden="false" customHeight="false" outlineLevel="0" collapsed="false">
      <c r="A188" s="43"/>
      <c r="B188" s="43"/>
      <c r="C188" s="43"/>
      <c r="D188" s="43"/>
      <c r="E188" s="44"/>
      <c r="F188" s="28" t="str">
        <f aca="false">IF($B188="","",IF(COUNTIF($B$2:$B188,$B188)=1,"新規","リピート"))</f>
        <v/>
      </c>
    </row>
    <row r="189" customFormat="false" ht="15" hidden="false" customHeight="false" outlineLevel="0" collapsed="false">
      <c r="A189" s="43"/>
      <c r="B189" s="43"/>
      <c r="C189" s="43"/>
      <c r="D189" s="43"/>
      <c r="E189" s="44"/>
      <c r="F189" s="28" t="str">
        <f aca="false">IF($B189="","",IF(COUNTIF($B$2:$B189,$B189)=1,"新規","リピート"))</f>
        <v/>
      </c>
    </row>
    <row r="190" customFormat="false" ht="15" hidden="false" customHeight="false" outlineLevel="0" collapsed="false">
      <c r="A190" s="43"/>
      <c r="B190" s="43"/>
      <c r="C190" s="43"/>
      <c r="D190" s="43"/>
      <c r="E190" s="44"/>
      <c r="F190" s="28" t="str">
        <f aca="false">IF($B190="","",IF(COUNTIF($B$2:$B190,$B190)=1,"新規","リピート"))</f>
        <v/>
      </c>
    </row>
    <row r="191" customFormat="false" ht="15" hidden="false" customHeight="false" outlineLevel="0" collapsed="false">
      <c r="A191" s="43"/>
      <c r="B191" s="43"/>
      <c r="C191" s="43"/>
      <c r="D191" s="43"/>
      <c r="E191" s="44"/>
      <c r="F191" s="28" t="str">
        <f aca="false">IF($B191="","",IF(COUNTIF($B$2:$B191,$B191)=1,"新規","リピート"))</f>
        <v/>
      </c>
    </row>
    <row r="192" customFormat="false" ht="15" hidden="false" customHeight="false" outlineLevel="0" collapsed="false">
      <c r="A192" s="43"/>
      <c r="B192" s="43"/>
      <c r="C192" s="43"/>
      <c r="D192" s="43"/>
      <c r="E192" s="44"/>
      <c r="F192" s="28" t="str">
        <f aca="false">IF($B192="","",IF(COUNTIF($B$2:$B192,$B192)=1,"新規","リピート"))</f>
        <v/>
      </c>
    </row>
    <row r="193" customFormat="false" ht="15" hidden="false" customHeight="false" outlineLevel="0" collapsed="false">
      <c r="A193" s="43"/>
      <c r="B193" s="43"/>
      <c r="C193" s="43"/>
      <c r="D193" s="43"/>
      <c r="E193" s="44"/>
      <c r="F193" s="28" t="str">
        <f aca="false">IF($B193="","",IF(COUNTIF($B$2:$B193,$B193)=1,"新規","リピート"))</f>
        <v/>
      </c>
    </row>
    <row r="194" customFormat="false" ht="15" hidden="false" customHeight="false" outlineLevel="0" collapsed="false">
      <c r="A194" s="43"/>
      <c r="B194" s="43"/>
      <c r="C194" s="43"/>
      <c r="D194" s="43"/>
      <c r="E194" s="44"/>
      <c r="F194" s="28" t="str">
        <f aca="false">IF($B194="","",IF(COUNTIF($B$2:$B194,$B194)=1,"新規","リピート"))</f>
        <v/>
      </c>
    </row>
    <row r="195" customFormat="false" ht="15" hidden="false" customHeight="false" outlineLevel="0" collapsed="false">
      <c r="A195" s="43"/>
      <c r="B195" s="43"/>
      <c r="C195" s="43"/>
      <c r="D195" s="43"/>
      <c r="E195" s="44"/>
      <c r="F195" s="28" t="str">
        <f aca="false">IF($B195="","",IF(COUNTIF($B$2:$B195,$B195)=1,"新規","リピート"))</f>
        <v/>
      </c>
    </row>
    <row r="196" customFormat="false" ht="15" hidden="false" customHeight="false" outlineLevel="0" collapsed="false">
      <c r="A196" s="43"/>
      <c r="B196" s="43"/>
      <c r="C196" s="43"/>
      <c r="D196" s="43"/>
      <c r="E196" s="44"/>
      <c r="F196" s="28" t="str">
        <f aca="false">IF($B196="","",IF(COUNTIF($B$2:$B196,$B196)=1,"新規","リピート"))</f>
        <v/>
      </c>
    </row>
    <row r="197" customFormat="false" ht="15" hidden="false" customHeight="false" outlineLevel="0" collapsed="false">
      <c r="A197" s="43"/>
      <c r="B197" s="43"/>
      <c r="C197" s="43"/>
      <c r="D197" s="43"/>
      <c r="E197" s="44"/>
      <c r="F197" s="28" t="str">
        <f aca="false">IF($B197="","",IF(COUNTIF($B$2:$B197,$B197)=1,"新規","リピート"))</f>
        <v/>
      </c>
    </row>
    <row r="198" customFormat="false" ht="15" hidden="false" customHeight="false" outlineLevel="0" collapsed="false">
      <c r="A198" s="43"/>
      <c r="B198" s="43"/>
      <c r="C198" s="43"/>
      <c r="D198" s="43"/>
      <c r="E198" s="44"/>
      <c r="F198" s="28" t="str">
        <f aca="false">IF($B198="","",IF(COUNTIF($B$2:$B198,$B198)=1,"新規","リピート"))</f>
        <v/>
      </c>
    </row>
    <row r="199" customFormat="false" ht="15" hidden="false" customHeight="false" outlineLevel="0" collapsed="false">
      <c r="A199" s="43"/>
      <c r="B199" s="43"/>
      <c r="C199" s="43"/>
      <c r="D199" s="43"/>
      <c r="E199" s="44"/>
      <c r="F199" s="28" t="str">
        <f aca="false">IF($B199="","",IF(COUNTIF($B$2:$B199,$B199)=1,"新規","リピート"))</f>
        <v/>
      </c>
    </row>
    <row r="200" customFormat="false" ht="15" hidden="false" customHeight="false" outlineLevel="0" collapsed="false">
      <c r="A200" s="43"/>
      <c r="B200" s="43"/>
      <c r="C200" s="43"/>
      <c r="D200" s="43"/>
      <c r="E200" s="44"/>
      <c r="F200" s="28" t="str">
        <f aca="false">IF($B200="","",IF(COUNTIF($B$2:$B200,$B200)=1,"新規","リピート"))</f>
        <v/>
      </c>
    </row>
    <row r="201" customFormat="false" ht="15" hidden="false" customHeight="false" outlineLevel="0" collapsed="false">
      <c r="A201" s="43"/>
      <c r="B201" s="43"/>
      <c r="C201" s="43"/>
      <c r="D201" s="43"/>
      <c r="E201" s="44"/>
      <c r="F201" s="28" t="str">
        <f aca="false">IF($B201="","",IF(COUNTIF($B$2:$B201,$B201)=1,"新規","リピート"))</f>
        <v/>
      </c>
    </row>
    <row r="202" customFormat="false" ht="15" hidden="false" customHeight="false" outlineLevel="0" collapsed="false">
      <c r="A202" s="43"/>
      <c r="B202" s="43"/>
      <c r="C202" s="43"/>
      <c r="D202" s="43"/>
      <c r="E202" s="44"/>
      <c r="F202" s="28" t="str">
        <f aca="false">IF($B202="","",IF(COUNTIF($B$2:$B202,$B202)=1,"新規","リピート"))</f>
        <v/>
      </c>
    </row>
    <row r="203" customFormat="false" ht="15" hidden="false" customHeight="false" outlineLevel="0" collapsed="false">
      <c r="A203" s="43"/>
      <c r="B203" s="43"/>
      <c r="C203" s="43"/>
      <c r="D203" s="43"/>
      <c r="E203" s="44"/>
      <c r="F203" s="28" t="str">
        <f aca="false">IF($B203="","",IF(COUNTIF($B$2:$B203,$B203)=1,"新規","リピート"))</f>
        <v/>
      </c>
    </row>
    <row r="204" customFormat="false" ht="15" hidden="false" customHeight="false" outlineLevel="0" collapsed="false">
      <c r="A204" s="43"/>
      <c r="B204" s="43"/>
      <c r="C204" s="43"/>
      <c r="D204" s="43"/>
      <c r="E204" s="44"/>
      <c r="F204" s="28" t="str">
        <f aca="false">IF($B204="","",IF(COUNTIF($B$2:$B204,$B204)=1,"新規","リピート"))</f>
        <v/>
      </c>
    </row>
    <row r="205" customFormat="false" ht="15" hidden="false" customHeight="false" outlineLevel="0" collapsed="false">
      <c r="A205" s="43"/>
      <c r="B205" s="43"/>
      <c r="C205" s="43"/>
      <c r="D205" s="43"/>
      <c r="E205" s="44"/>
      <c r="F205" s="28" t="str">
        <f aca="false">IF($B205="","",IF(COUNTIF($B$2:$B205,$B205)=1,"新規","リピート"))</f>
        <v/>
      </c>
    </row>
    <row r="206" customFormat="false" ht="15" hidden="false" customHeight="false" outlineLevel="0" collapsed="false">
      <c r="A206" s="43"/>
      <c r="B206" s="43"/>
      <c r="C206" s="43"/>
      <c r="D206" s="43"/>
      <c r="E206" s="44"/>
      <c r="F206" s="28" t="str">
        <f aca="false">IF($B206="","",IF(COUNTIF($B$2:$B206,$B206)=1,"新規","リピート"))</f>
        <v/>
      </c>
    </row>
    <row r="207" customFormat="false" ht="15" hidden="false" customHeight="false" outlineLevel="0" collapsed="false">
      <c r="A207" s="43"/>
      <c r="B207" s="43"/>
      <c r="C207" s="43"/>
      <c r="D207" s="43"/>
      <c r="E207" s="44"/>
      <c r="F207" s="28" t="str">
        <f aca="false">IF($B207="","",IF(COUNTIF($B$2:$B207,$B207)=1,"新規","リピート"))</f>
        <v/>
      </c>
    </row>
    <row r="208" customFormat="false" ht="15" hidden="false" customHeight="false" outlineLevel="0" collapsed="false">
      <c r="A208" s="43"/>
      <c r="B208" s="43"/>
      <c r="C208" s="43"/>
      <c r="D208" s="43"/>
      <c r="E208" s="44"/>
      <c r="F208" s="28" t="str">
        <f aca="false">IF($B208="","",IF(COUNTIF($B$2:$B208,$B208)=1,"新規","リピート"))</f>
        <v/>
      </c>
    </row>
    <row r="209" customFormat="false" ht="15" hidden="false" customHeight="false" outlineLevel="0" collapsed="false">
      <c r="A209" s="43"/>
      <c r="B209" s="43"/>
      <c r="C209" s="43"/>
      <c r="D209" s="43"/>
      <c r="E209" s="44"/>
      <c r="F209" s="28" t="str">
        <f aca="false">IF($B209="","",IF(COUNTIF($B$2:$B209,$B209)=1,"新規","リピート"))</f>
        <v/>
      </c>
    </row>
    <row r="210" customFormat="false" ht="15" hidden="false" customHeight="false" outlineLevel="0" collapsed="false">
      <c r="A210" s="43"/>
      <c r="B210" s="43"/>
      <c r="C210" s="43"/>
      <c r="D210" s="43"/>
      <c r="E210" s="44"/>
      <c r="F210" s="28" t="str">
        <f aca="false">IF($B210="","",IF(COUNTIF($B$2:$B210,$B210)=1,"新規","リピート"))</f>
        <v/>
      </c>
    </row>
    <row r="211" customFormat="false" ht="15" hidden="false" customHeight="false" outlineLevel="0" collapsed="false">
      <c r="A211" s="43"/>
      <c r="B211" s="43"/>
      <c r="C211" s="43"/>
      <c r="D211" s="43"/>
      <c r="E211" s="44"/>
      <c r="F211" s="28" t="str">
        <f aca="false">IF($B211="","",IF(COUNTIF($B$2:$B211,$B211)=1,"新規","リピート"))</f>
        <v/>
      </c>
    </row>
    <row r="212" customFormat="false" ht="15" hidden="false" customHeight="false" outlineLevel="0" collapsed="false">
      <c r="A212" s="43"/>
      <c r="B212" s="43"/>
      <c r="C212" s="43"/>
      <c r="D212" s="43"/>
      <c r="E212" s="44"/>
      <c r="F212" s="28" t="str">
        <f aca="false">IF($B212="","",IF(COUNTIF($B$2:$B212,$B212)=1,"新規","リピート"))</f>
        <v/>
      </c>
    </row>
    <row r="213" customFormat="false" ht="15" hidden="false" customHeight="false" outlineLevel="0" collapsed="false">
      <c r="A213" s="43"/>
      <c r="B213" s="43"/>
      <c r="C213" s="43"/>
      <c r="D213" s="43"/>
      <c r="E213" s="44"/>
      <c r="F213" s="28" t="str">
        <f aca="false">IF($B213="","",IF(COUNTIF($B$2:$B213,$B213)=1,"新規","リピート"))</f>
        <v/>
      </c>
    </row>
    <row r="214" customFormat="false" ht="15" hidden="false" customHeight="false" outlineLevel="0" collapsed="false">
      <c r="A214" s="43"/>
      <c r="B214" s="43"/>
      <c r="C214" s="43"/>
      <c r="D214" s="43"/>
      <c r="E214" s="44"/>
      <c r="F214" s="28" t="str">
        <f aca="false">IF($B214="","",IF(COUNTIF($B$2:$B214,$B214)=1,"新規","リピート"))</f>
        <v/>
      </c>
    </row>
    <row r="215" customFormat="false" ht="15" hidden="false" customHeight="false" outlineLevel="0" collapsed="false">
      <c r="A215" s="43"/>
      <c r="B215" s="43"/>
      <c r="C215" s="43"/>
      <c r="D215" s="43"/>
      <c r="E215" s="44"/>
      <c r="F215" s="28" t="str">
        <f aca="false">IF($B215="","",IF(COUNTIF($B$2:$B215,$B215)=1,"新規","リピート"))</f>
        <v/>
      </c>
    </row>
    <row r="216" customFormat="false" ht="15" hidden="false" customHeight="false" outlineLevel="0" collapsed="false">
      <c r="A216" s="43"/>
      <c r="B216" s="43"/>
      <c r="C216" s="43"/>
      <c r="D216" s="43"/>
      <c r="E216" s="44"/>
      <c r="F216" s="28" t="str">
        <f aca="false">IF($B216="","",IF(COUNTIF($B$2:$B216,$B216)=1,"新規","リピート"))</f>
        <v/>
      </c>
    </row>
    <row r="217" customFormat="false" ht="15" hidden="false" customHeight="false" outlineLevel="0" collapsed="false">
      <c r="A217" s="43"/>
      <c r="B217" s="43"/>
      <c r="C217" s="43"/>
      <c r="D217" s="43"/>
      <c r="E217" s="44"/>
      <c r="F217" s="28" t="str">
        <f aca="false">IF($B217="","",IF(COUNTIF($B$2:$B217,$B217)=1,"新規","リピート"))</f>
        <v/>
      </c>
    </row>
    <row r="218" customFormat="false" ht="15" hidden="false" customHeight="false" outlineLevel="0" collapsed="false">
      <c r="A218" s="43"/>
      <c r="B218" s="43"/>
      <c r="C218" s="43"/>
      <c r="D218" s="43"/>
      <c r="E218" s="44"/>
      <c r="F218" s="28" t="str">
        <f aca="false">IF($B218="","",IF(COUNTIF($B$2:$B218,$B218)=1,"新規","リピート"))</f>
        <v/>
      </c>
    </row>
    <row r="219" customFormat="false" ht="15" hidden="false" customHeight="false" outlineLevel="0" collapsed="false">
      <c r="A219" s="43"/>
      <c r="B219" s="43"/>
      <c r="C219" s="43"/>
      <c r="D219" s="43"/>
      <c r="E219" s="44"/>
      <c r="F219" s="28" t="str">
        <f aca="false">IF($B219="","",IF(COUNTIF($B$2:$B219,$B219)=1,"新規","リピート"))</f>
        <v/>
      </c>
    </row>
    <row r="220" customFormat="false" ht="15" hidden="false" customHeight="false" outlineLevel="0" collapsed="false">
      <c r="A220" s="43"/>
      <c r="B220" s="43"/>
      <c r="C220" s="43"/>
      <c r="D220" s="43"/>
      <c r="E220" s="44"/>
      <c r="F220" s="28" t="str">
        <f aca="false">IF($B220="","",IF(COUNTIF($B$2:$B220,$B220)=1,"新規","リピート"))</f>
        <v/>
      </c>
    </row>
    <row r="221" customFormat="false" ht="15" hidden="false" customHeight="false" outlineLevel="0" collapsed="false">
      <c r="A221" s="43"/>
      <c r="B221" s="43"/>
      <c r="C221" s="43"/>
      <c r="D221" s="43"/>
      <c r="E221" s="44"/>
      <c r="F221" s="28" t="str">
        <f aca="false">IF($B221="","",IF(COUNTIF($B$2:$B221,$B221)=1,"新規","リピート"))</f>
        <v/>
      </c>
    </row>
    <row r="222" customFormat="false" ht="15" hidden="false" customHeight="false" outlineLevel="0" collapsed="false">
      <c r="A222" s="43"/>
      <c r="B222" s="43"/>
      <c r="C222" s="43"/>
      <c r="D222" s="43"/>
      <c r="E222" s="44"/>
      <c r="F222" s="28" t="str">
        <f aca="false">IF($B222="","",IF(COUNTIF($B$2:$B222,$B222)=1,"新規","リピート"))</f>
        <v/>
      </c>
    </row>
    <row r="223" customFormat="false" ht="15" hidden="false" customHeight="false" outlineLevel="0" collapsed="false">
      <c r="A223" s="43"/>
      <c r="B223" s="43"/>
      <c r="C223" s="43"/>
      <c r="D223" s="43"/>
      <c r="E223" s="44"/>
      <c r="F223" s="28" t="str">
        <f aca="false">IF($B223="","",IF(COUNTIF($B$2:$B223,$B223)=1,"新規","リピート"))</f>
        <v/>
      </c>
    </row>
    <row r="224" customFormat="false" ht="15" hidden="false" customHeight="false" outlineLevel="0" collapsed="false">
      <c r="A224" s="43"/>
      <c r="B224" s="43"/>
      <c r="C224" s="43"/>
      <c r="D224" s="43"/>
      <c r="E224" s="44"/>
      <c r="F224" s="28" t="str">
        <f aca="false">IF($B224="","",IF(COUNTIF($B$2:$B224,$B224)=1,"新規","リピート"))</f>
        <v/>
      </c>
    </row>
    <row r="225" customFormat="false" ht="15" hidden="false" customHeight="false" outlineLevel="0" collapsed="false">
      <c r="A225" s="43"/>
      <c r="B225" s="43"/>
      <c r="C225" s="43"/>
      <c r="D225" s="43"/>
      <c r="E225" s="44"/>
      <c r="F225" s="28" t="str">
        <f aca="false">IF($B225="","",IF(COUNTIF($B$2:$B225,$B225)=1,"新規","リピート"))</f>
        <v/>
      </c>
    </row>
    <row r="226" customFormat="false" ht="15" hidden="false" customHeight="false" outlineLevel="0" collapsed="false">
      <c r="A226" s="43"/>
      <c r="B226" s="43"/>
      <c r="C226" s="43"/>
      <c r="D226" s="43"/>
      <c r="E226" s="44"/>
      <c r="F226" s="28" t="str">
        <f aca="false">IF($B226="","",IF(COUNTIF($B$2:$B226,$B226)=1,"新規","リピート"))</f>
        <v/>
      </c>
    </row>
    <row r="227" customFormat="false" ht="15" hidden="false" customHeight="false" outlineLevel="0" collapsed="false">
      <c r="A227" s="43"/>
      <c r="B227" s="43"/>
      <c r="C227" s="43"/>
      <c r="D227" s="43"/>
      <c r="E227" s="44"/>
      <c r="F227" s="28" t="str">
        <f aca="false">IF($B227="","",IF(COUNTIF($B$2:$B227,$B227)=1,"新規","リピート"))</f>
        <v/>
      </c>
    </row>
    <row r="228" customFormat="false" ht="15" hidden="false" customHeight="false" outlineLevel="0" collapsed="false">
      <c r="A228" s="43"/>
      <c r="B228" s="43"/>
      <c r="C228" s="43"/>
      <c r="D228" s="43"/>
      <c r="E228" s="44"/>
      <c r="F228" s="28" t="str">
        <f aca="false">IF($B228="","",IF(COUNTIF($B$2:$B228,$B228)=1,"新規","リピート"))</f>
        <v/>
      </c>
    </row>
    <row r="229" customFormat="false" ht="15" hidden="false" customHeight="false" outlineLevel="0" collapsed="false">
      <c r="A229" s="43"/>
      <c r="B229" s="43"/>
      <c r="C229" s="43"/>
      <c r="D229" s="43"/>
      <c r="E229" s="44"/>
      <c r="F229" s="28" t="str">
        <f aca="false">IF($B229="","",IF(COUNTIF($B$2:$B229,$B229)=1,"新規","リピート"))</f>
        <v/>
      </c>
    </row>
    <row r="230" customFormat="false" ht="15" hidden="false" customHeight="false" outlineLevel="0" collapsed="false">
      <c r="A230" s="43"/>
      <c r="B230" s="43"/>
      <c r="C230" s="43"/>
      <c r="D230" s="43"/>
      <c r="E230" s="44"/>
      <c r="F230" s="28" t="str">
        <f aca="false">IF($B230="","",IF(COUNTIF($B$2:$B230,$B230)=1,"新規","リピート"))</f>
        <v/>
      </c>
    </row>
    <row r="231" customFormat="false" ht="15" hidden="false" customHeight="false" outlineLevel="0" collapsed="false">
      <c r="A231" s="43"/>
      <c r="B231" s="43"/>
      <c r="C231" s="43"/>
      <c r="D231" s="43"/>
      <c r="E231" s="44"/>
      <c r="F231" s="28" t="str">
        <f aca="false">IF($B231="","",IF(COUNTIF($B$2:$B231,$B231)=1,"新規","リピート"))</f>
        <v/>
      </c>
    </row>
    <row r="232" customFormat="false" ht="15" hidden="false" customHeight="false" outlineLevel="0" collapsed="false">
      <c r="A232" s="43"/>
      <c r="B232" s="43"/>
      <c r="C232" s="43"/>
      <c r="D232" s="43"/>
      <c r="E232" s="44"/>
      <c r="F232" s="28" t="str">
        <f aca="false">IF($B232="","",IF(COUNTIF($B$2:$B232,$B232)=1,"新規","リピート"))</f>
        <v/>
      </c>
    </row>
    <row r="233" customFormat="false" ht="15" hidden="false" customHeight="false" outlineLevel="0" collapsed="false">
      <c r="A233" s="43"/>
      <c r="B233" s="43"/>
      <c r="C233" s="43"/>
      <c r="D233" s="43"/>
      <c r="E233" s="44"/>
      <c r="F233" s="28" t="str">
        <f aca="false">IF($B233="","",IF(COUNTIF($B$2:$B233,$B233)=1,"新規","リピート"))</f>
        <v/>
      </c>
    </row>
    <row r="234" customFormat="false" ht="15" hidden="false" customHeight="false" outlineLevel="0" collapsed="false">
      <c r="A234" s="43"/>
      <c r="B234" s="43"/>
      <c r="C234" s="43"/>
      <c r="D234" s="43"/>
      <c r="E234" s="44"/>
      <c r="F234" s="28" t="str">
        <f aca="false">IF($B234="","",IF(COUNTIF($B$2:$B234,$B234)=1,"新規","リピート"))</f>
        <v/>
      </c>
    </row>
    <row r="235" customFormat="false" ht="15" hidden="false" customHeight="false" outlineLevel="0" collapsed="false">
      <c r="A235" s="43"/>
      <c r="B235" s="43"/>
      <c r="C235" s="43"/>
      <c r="D235" s="43"/>
      <c r="E235" s="44"/>
      <c r="F235" s="28" t="str">
        <f aca="false">IF($B235="","",IF(COUNTIF($B$2:$B235,$B235)=1,"新規","リピート"))</f>
        <v/>
      </c>
    </row>
    <row r="236" customFormat="false" ht="15" hidden="false" customHeight="false" outlineLevel="0" collapsed="false">
      <c r="A236" s="43"/>
      <c r="B236" s="43"/>
      <c r="C236" s="43"/>
      <c r="D236" s="43"/>
      <c r="E236" s="44"/>
      <c r="F236" s="28" t="str">
        <f aca="false">IF($B236="","",IF(COUNTIF($B$2:$B236,$B236)=1,"新規","リピート"))</f>
        <v/>
      </c>
    </row>
    <row r="237" customFormat="false" ht="15" hidden="false" customHeight="false" outlineLevel="0" collapsed="false">
      <c r="A237" s="43"/>
      <c r="B237" s="43"/>
      <c r="C237" s="43"/>
      <c r="D237" s="43"/>
      <c r="E237" s="44"/>
      <c r="F237" s="28" t="str">
        <f aca="false">IF($B237="","",IF(COUNTIF($B$2:$B237,$B237)=1,"新規","リピート"))</f>
        <v/>
      </c>
    </row>
    <row r="238" customFormat="false" ht="15" hidden="false" customHeight="false" outlineLevel="0" collapsed="false">
      <c r="A238" s="43"/>
      <c r="B238" s="43"/>
      <c r="C238" s="43"/>
      <c r="D238" s="43"/>
      <c r="E238" s="44"/>
      <c r="F238" s="28" t="str">
        <f aca="false">IF($B238="","",IF(COUNTIF($B$2:$B238,$B238)=1,"新規","リピート"))</f>
        <v/>
      </c>
    </row>
    <row r="239" customFormat="false" ht="15" hidden="false" customHeight="false" outlineLevel="0" collapsed="false">
      <c r="A239" s="43"/>
      <c r="B239" s="43"/>
      <c r="C239" s="43"/>
      <c r="D239" s="43"/>
      <c r="E239" s="44"/>
      <c r="F239" s="28" t="str">
        <f aca="false">IF($B239="","",IF(COUNTIF($B$2:$B239,$B239)=1,"新規","リピート"))</f>
        <v/>
      </c>
    </row>
    <row r="240" customFormat="false" ht="15" hidden="false" customHeight="false" outlineLevel="0" collapsed="false">
      <c r="A240" s="43"/>
      <c r="B240" s="43"/>
      <c r="C240" s="43"/>
      <c r="D240" s="43"/>
      <c r="E240" s="44"/>
      <c r="F240" s="28" t="str">
        <f aca="false">IF($B240="","",IF(COUNTIF($B$2:$B240,$B240)=1,"新規","リピート"))</f>
        <v/>
      </c>
    </row>
    <row r="241" customFormat="false" ht="15" hidden="false" customHeight="false" outlineLevel="0" collapsed="false">
      <c r="A241" s="43"/>
      <c r="B241" s="43"/>
      <c r="C241" s="43"/>
      <c r="D241" s="43"/>
      <c r="E241" s="44"/>
      <c r="F241" s="28" t="str">
        <f aca="false">IF($B241="","",IF(COUNTIF($B$2:$B241,$B241)=1,"新規","リピート"))</f>
        <v/>
      </c>
    </row>
    <row r="242" customFormat="false" ht="15" hidden="false" customHeight="false" outlineLevel="0" collapsed="false">
      <c r="A242" s="43"/>
      <c r="B242" s="43"/>
      <c r="C242" s="43"/>
      <c r="D242" s="43"/>
      <c r="E242" s="44"/>
      <c r="F242" s="28" t="str">
        <f aca="false">IF($B242="","",IF(COUNTIF($B$2:$B242,$B242)=1,"新規","リピート"))</f>
        <v/>
      </c>
    </row>
    <row r="243" customFormat="false" ht="15" hidden="false" customHeight="false" outlineLevel="0" collapsed="false">
      <c r="A243" s="43"/>
      <c r="B243" s="43"/>
      <c r="C243" s="43"/>
      <c r="D243" s="43"/>
      <c r="E243" s="44"/>
      <c r="F243" s="28" t="str">
        <f aca="false">IF($B243="","",IF(COUNTIF($B$2:$B243,$B243)=1,"新規","リピート"))</f>
        <v/>
      </c>
    </row>
    <row r="244" customFormat="false" ht="15" hidden="false" customHeight="false" outlineLevel="0" collapsed="false">
      <c r="A244" s="43"/>
      <c r="B244" s="43"/>
      <c r="C244" s="43"/>
      <c r="D244" s="43"/>
      <c r="E244" s="44"/>
      <c r="F244" s="28" t="str">
        <f aca="false">IF($B244="","",IF(COUNTIF($B$2:$B244,$B244)=1,"新規","リピート"))</f>
        <v/>
      </c>
    </row>
    <row r="245" customFormat="false" ht="15" hidden="false" customHeight="false" outlineLevel="0" collapsed="false">
      <c r="A245" s="43"/>
      <c r="B245" s="43"/>
      <c r="C245" s="43"/>
      <c r="D245" s="43"/>
      <c r="E245" s="44"/>
      <c r="F245" s="28" t="str">
        <f aca="false">IF($B245="","",IF(COUNTIF($B$2:$B245,$B245)=1,"新規","リピート"))</f>
        <v/>
      </c>
    </row>
    <row r="246" customFormat="false" ht="15" hidden="false" customHeight="false" outlineLevel="0" collapsed="false">
      <c r="A246" s="43"/>
      <c r="B246" s="43"/>
      <c r="C246" s="43"/>
      <c r="D246" s="43"/>
      <c r="E246" s="44"/>
      <c r="F246" s="28" t="str">
        <f aca="false">IF($B246="","",IF(COUNTIF($B$2:$B246,$B246)=1,"新規","リピート"))</f>
        <v/>
      </c>
    </row>
    <row r="247" customFormat="false" ht="15" hidden="false" customHeight="false" outlineLevel="0" collapsed="false">
      <c r="A247" s="43"/>
      <c r="B247" s="43"/>
      <c r="C247" s="43"/>
      <c r="D247" s="43"/>
      <c r="E247" s="44"/>
      <c r="F247" s="28" t="str">
        <f aca="false">IF($B247="","",IF(COUNTIF($B$2:$B247,$B247)=1,"新規","リピート"))</f>
        <v/>
      </c>
    </row>
    <row r="248" customFormat="false" ht="15" hidden="false" customHeight="false" outlineLevel="0" collapsed="false">
      <c r="A248" s="43"/>
      <c r="B248" s="43"/>
      <c r="C248" s="43"/>
      <c r="D248" s="43"/>
      <c r="E248" s="44"/>
      <c r="F248" s="28" t="str">
        <f aca="false">IF($B248="","",IF(COUNTIF($B$2:$B248,$B248)=1,"新規","リピート"))</f>
        <v/>
      </c>
    </row>
    <row r="249" customFormat="false" ht="15" hidden="false" customHeight="false" outlineLevel="0" collapsed="false">
      <c r="A249" s="43"/>
      <c r="B249" s="43"/>
      <c r="C249" s="43"/>
      <c r="D249" s="43"/>
      <c r="E249" s="44"/>
      <c r="F249" s="28" t="str">
        <f aca="false">IF($B249="","",IF(COUNTIF($B$2:$B249,$B249)=1,"新規","リピート"))</f>
        <v/>
      </c>
    </row>
    <row r="250" customFormat="false" ht="15" hidden="false" customHeight="false" outlineLevel="0" collapsed="false">
      <c r="A250" s="43"/>
      <c r="B250" s="43"/>
      <c r="C250" s="43"/>
      <c r="D250" s="43"/>
      <c r="E250" s="44"/>
      <c r="F250" s="28" t="str">
        <f aca="false">IF($B250="","",IF(COUNTIF($B$2:$B250,$B250)=1,"新規","リピート"))</f>
        <v/>
      </c>
    </row>
    <row r="251" customFormat="false" ht="15" hidden="false" customHeight="false" outlineLevel="0" collapsed="false">
      <c r="A251" s="43"/>
      <c r="B251" s="43"/>
      <c r="C251" s="43"/>
      <c r="D251" s="43"/>
      <c r="E251" s="44"/>
      <c r="F251" s="28" t="str">
        <f aca="false">IF($B251="","",IF(COUNTIF($B$2:$B251,$B251)=1,"新規","リピート"))</f>
        <v/>
      </c>
    </row>
    <row r="252" customFormat="false" ht="15" hidden="false" customHeight="false" outlineLevel="0" collapsed="false">
      <c r="A252" s="43"/>
      <c r="B252" s="43"/>
      <c r="C252" s="43"/>
      <c r="D252" s="43"/>
      <c r="E252" s="44"/>
      <c r="F252" s="28" t="str">
        <f aca="false">IF($B252="","",IF(COUNTIF($B$2:$B252,$B252)=1,"新規","リピート"))</f>
        <v/>
      </c>
    </row>
    <row r="253" customFormat="false" ht="15" hidden="false" customHeight="false" outlineLevel="0" collapsed="false">
      <c r="A253" s="43"/>
      <c r="B253" s="43"/>
      <c r="C253" s="43"/>
      <c r="D253" s="43"/>
      <c r="E253" s="44"/>
      <c r="F253" s="28" t="str">
        <f aca="false">IF($B253="","",IF(COUNTIF($B$2:$B253,$B253)=1,"新規","リピート"))</f>
        <v/>
      </c>
    </row>
    <row r="254" customFormat="false" ht="15" hidden="false" customHeight="false" outlineLevel="0" collapsed="false">
      <c r="A254" s="43"/>
      <c r="B254" s="43"/>
      <c r="C254" s="43"/>
      <c r="D254" s="43"/>
      <c r="E254" s="44"/>
      <c r="F254" s="28" t="str">
        <f aca="false">IF($B254="","",IF(COUNTIF($B$2:$B254,$B254)=1,"新規","リピート"))</f>
        <v/>
      </c>
    </row>
    <row r="255" customFormat="false" ht="15" hidden="false" customHeight="false" outlineLevel="0" collapsed="false">
      <c r="A255" s="43"/>
      <c r="B255" s="43"/>
      <c r="C255" s="43"/>
      <c r="D255" s="43"/>
      <c r="E255" s="44"/>
      <c r="F255" s="28" t="str">
        <f aca="false">IF($B255="","",IF(COUNTIF($B$2:$B255,$B255)=1,"新規","リピート"))</f>
        <v/>
      </c>
    </row>
    <row r="256" customFormat="false" ht="15" hidden="false" customHeight="false" outlineLevel="0" collapsed="false">
      <c r="A256" s="43"/>
      <c r="B256" s="43"/>
      <c r="C256" s="43"/>
      <c r="D256" s="43"/>
      <c r="E256" s="44"/>
      <c r="F256" s="28" t="str">
        <f aca="false">IF($B256="","",IF(COUNTIF($B$2:$B256,$B256)=1,"新規","リピート"))</f>
        <v/>
      </c>
    </row>
    <row r="257" customFormat="false" ht="15" hidden="false" customHeight="false" outlineLevel="0" collapsed="false">
      <c r="A257" s="43"/>
      <c r="B257" s="43"/>
      <c r="C257" s="43"/>
      <c r="D257" s="43"/>
      <c r="E257" s="44"/>
      <c r="F257" s="28" t="str">
        <f aca="false">IF($B257="","",IF(COUNTIF($B$2:$B257,$B257)=1,"新規","リピート"))</f>
        <v/>
      </c>
    </row>
    <row r="258" customFormat="false" ht="15" hidden="false" customHeight="false" outlineLevel="0" collapsed="false">
      <c r="A258" s="43"/>
      <c r="B258" s="43"/>
      <c r="C258" s="43"/>
      <c r="D258" s="43"/>
      <c r="E258" s="44"/>
      <c r="F258" s="28" t="str">
        <f aca="false">IF($B258="","",IF(COUNTIF($B$2:$B258,$B258)=1,"新規","リピート"))</f>
        <v/>
      </c>
    </row>
    <row r="259" customFormat="false" ht="15" hidden="false" customHeight="false" outlineLevel="0" collapsed="false">
      <c r="A259" s="43"/>
      <c r="B259" s="43"/>
      <c r="C259" s="43"/>
      <c r="D259" s="43"/>
      <c r="E259" s="44"/>
      <c r="F259" s="28" t="str">
        <f aca="false">IF($B259="","",IF(COUNTIF($B$2:$B259,$B259)=1,"新規","リピート"))</f>
        <v/>
      </c>
    </row>
    <row r="260" customFormat="false" ht="15" hidden="false" customHeight="false" outlineLevel="0" collapsed="false">
      <c r="A260" s="43"/>
      <c r="B260" s="43"/>
      <c r="C260" s="43"/>
      <c r="D260" s="43"/>
      <c r="E260" s="44"/>
      <c r="F260" s="28" t="str">
        <f aca="false">IF($B260="","",IF(COUNTIF($B$2:$B260,$B260)=1,"新規","リピート"))</f>
        <v/>
      </c>
    </row>
    <row r="261" customFormat="false" ht="15" hidden="false" customHeight="false" outlineLevel="0" collapsed="false">
      <c r="A261" s="43"/>
      <c r="B261" s="43"/>
      <c r="C261" s="43"/>
      <c r="D261" s="43"/>
      <c r="E261" s="44"/>
      <c r="F261" s="28" t="str">
        <f aca="false">IF($B261="","",IF(COUNTIF($B$2:$B261,$B261)=1,"新規","リピート"))</f>
        <v/>
      </c>
    </row>
    <row r="262" customFormat="false" ht="15" hidden="false" customHeight="false" outlineLevel="0" collapsed="false">
      <c r="A262" s="43"/>
      <c r="B262" s="43"/>
      <c r="C262" s="43"/>
      <c r="D262" s="43"/>
      <c r="E262" s="44"/>
      <c r="F262" s="28" t="str">
        <f aca="false">IF($B262="","",IF(COUNTIF($B$2:$B262,$B262)=1,"新規","リピート"))</f>
        <v/>
      </c>
    </row>
    <row r="263" customFormat="false" ht="15" hidden="false" customHeight="false" outlineLevel="0" collapsed="false">
      <c r="A263" s="43"/>
      <c r="B263" s="43"/>
      <c r="C263" s="43"/>
      <c r="D263" s="43"/>
      <c r="E263" s="44"/>
      <c r="F263" s="28" t="str">
        <f aca="false">IF($B263="","",IF(COUNTIF($B$2:$B263,$B263)=1,"新規","リピート"))</f>
        <v/>
      </c>
    </row>
    <row r="264" customFormat="false" ht="15" hidden="false" customHeight="false" outlineLevel="0" collapsed="false">
      <c r="A264" s="43"/>
      <c r="B264" s="43"/>
      <c r="C264" s="43"/>
      <c r="D264" s="43"/>
      <c r="E264" s="44"/>
      <c r="F264" s="28" t="str">
        <f aca="false">IF($B264="","",IF(COUNTIF($B$2:$B264,$B264)=1,"新規","リピート"))</f>
        <v/>
      </c>
    </row>
    <row r="265" customFormat="false" ht="15" hidden="false" customHeight="false" outlineLevel="0" collapsed="false">
      <c r="A265" s="43"/>
      <c r="B265" s="43"/>
      <c r="C265" s="43"/>
      <c r="D265" s="43"/>
      <c r="E265" s="44"/>
      <c r="F265" s="28" t="str">
        <f aca="false">IF($B265="","",IF(COUNTIF($B$2:$B265,$B265)=1,"新規","リピート"))</f>
        <v/>
      </c>
    </row>
    <row r="266" customFormat="false" ht="15" hidden="false" customHeight="false" outlineLevel="0" collapsed="false">
      <c r="A266" s="43"/>
      <c r="B266" s="43"/>
      <c r="C266" s="43"/>
      <c r="D266" s="43"/>
      <c r="E266" s="44"/>
      <c r="F266" s="28" t="str">
        <f aca="false">IF($B266="","",IF(COUNTIF($B$2:$B266,$B266)=1,"新規","リピート"))</f>
        <v/>
      </c>
    </row>
    <row r="267" customFormat="false" ht="15" hidden="false" customHeight="false" outlineLevel="0" collapsed="false">
      <c r="A267" s="43"/>
      <c r="B267" s="43"/>
      <c r="C267" s="43"/>
      <c r="D267" s="43"/>
      <c r="E267" s="44"/>
      <c r="F267" s="28" t="str">
        <f aca="false">IF($B267="","",IF(COUNTIF($B$2:$B267,$B267)=1,"新規","リピート"))</f>
        <v/>
      </c>
    </row>
    <row r="268" customFormat="false" ht="15" hidden="false" customHeight="false" outlineLevel="0" collapsed="false">
      <c r="A268" s="43"/>
      <c r="B268" s="43"/>
      <c r="C268" s="43"/>
      <c r="D268" s="43"/>
      <c r="E268" s="44"/>
      <c r="F268" s="28" t="str">
        <f aca="false">IF($B268="","",IF(COUNTIF($B$2:$B268,$B268)=1,"新規","リピート"))</f>
        <v/>
      </c>
    </row>
    <row r="269" customFormat="false" ht="15" hidden="false" customHeight="false" outlineLevel="0" collapsed="false">
      <c r="A269" s="43"/>
      <c r="B269" s="43"/>
      <c r="C269" s="43"/>
      <c r="D269" s="43"/>
      <c r="E269" s="44"/>
      <c r="F269" s="28" t="str">
        <f aca="false">IF($B269="","",IF(COUNTIF($B$2:$B269,$B269)=1,"新規","リピート"))</f>
        <v/>
      </c>
    </row>
    <row r="270" customFormat="false" ht="15" hidden="false" customHeight="false" outlineLevel="0" collapsed="false">
      <c r="A270" s="43"/>
      <c r="B270" s="43"/>
      <c r="C270" s="43"/>
      <c r="D270" s="43"/>
      <c r="E270" s="44"/>
      <c r="F270" s="28" t="str">
        <f aca="false">IF($B270="","",IF(COUNTIF($B$2:$B270,$B270)=1,"新規","リピート"))</f>
        <v/>
      </c>
    </row>
    <row r="271" customFormat="false" ht="15" hidden="false" customHeight="false" outlineLevel="0" collapsed="false">
      <c r="A271" s="43"/>
      <c r="B271" s="43"/>
      <c r="C271" s="43"/>
      <c r="D271" s="43"/>
      <c r="E271" s="44"/>
      <c r="F271" s="28" t="str">
        <f aca="false">IF($B271="","",IF(COUNTIF($B$2:$B271,$B271)=1,"新規","リピート"))</f>
        <v/>
      </c>
    </row>
    <row r="272" customFormat="false" ht="15" hidden="false" customHeight="false" outlineLevel="0" collapsed="false">
      <c r="A272" s="43"/>
      <c r="B272" s="43"/>
      <c r="C272" s="43"/>
      <c r="D272" s="43"/>
      <c r="E272" s="44"/>
      <c r="F272" s="28" t="str">
        <f aca="false">IF($B272="","",IF(COUNTIF($B$2:$B272,$B272)=1,"新規","リピート"))</f>
        <v/>
      </c>
    </row>
    <row r="273" customFormat="false" ht="15" hidden="false" customHeight="false" outlineLevel="0" collapsed="false">
      <c r="A273" s="43"/>
      <c r="B273" s="43"/>
      <c r="C273" s="43"/>
      <c r="D273" s="43"/>
      <c r="E273" s="44"/>
      <c r="F273" s="28" t="str">
        <f aca="false">IF($B273="","",IF(COUNTIF($B$2:$B273,$B273)=1,"新規","リピート"))</f>
        <v/>
      </c>
    </row>
    <row r="274" customFormat="false" ht="15" hidden="false" customHeight="false" outlineLevel="0" collapsed="false">
      <c r="A274" s="43"/>
      <c r="B274" s="43"/>
      <c r="C274" s="43"/>
      <c r="D274" s="43"/>
      <c r="E274" s="44"/>
      <c r="F274" s="28" t="str">
        <f aca="false">IF($B274="","",IF(COUNTIF($B$2:$B274,$B274)=1,"新規","リピート"))</f>
        <v/>
      </c>
    </row>
    <row r="275" customFormat="false" ht="15" hidden="false" customHeight="false" outlineLevel="0" collapsed="false">
      <c r="A275" s="43"/>
      <c r="B275" s="43"/>
      <c r="C275" s="43"/>
      <c r="D275" s="43"/>
      <c r="E275" s="44"/>
      <c r="F275" s="28" t="str">
        <f aca="false">IF($B275="","",IF(COUNTIF($B$2:$B275,$B275)=1,"新規","リピート"))</f>
        <v/>
      </c>
    </row>
    <row r="276" customFormat="false" ht="15" hidden="false" customHeight="false" outlineLevel="0" collapsed="false">
      <c r="A276" s="43"/>
      <c r="B276" s="43"/>
      <c r="C276" s="43"/>
      <c r="D276" s="43"/>
      <c r="E276" s="44"/>
      <c r="F276" s="28" t="str">
        <f aca="false">IF($B276="","",IF(COUNTIF($B$2:$B276,$B276)=1,"新規","リピート"))</f>
        <v/>
      </c>
    </row>
    <row r="277" customFormat="false" ht="15" hidden="false" customHeight="false" outlineLevel="0" collapsed="false">
      <c r="A277" s="43"/>
      <c r="B277" s="43"/>
      <c r="C277" s="43"/>
      <c r="D277" s="43"/>
      <c r="E277" s="44"/>
      <c r="F277" s="28" t="str">
        <f aca="false">IF($B277="","",IF(COUNTIF($B$2:$B277,$B277)=1,"新規","リピート"))</f>
        <v/>
      </c>
    </row>
    <row r="278" customFormat="false" ht="15" hidden="false" customHeight="false" outlineLevel="0" collapsed="false">
      <c r="A278" s="43"/>
      <c r="B278" s="43"/>
      <c r="C278" s="43"/>
      <c r="D278" s="43"/>
      <c r="E278" s="44"/>
      <c r="F278" s="28" t="str">
        <f aca="false">IF($B278="","",IF(COUNTIF($B$2:$B278,$B278)=1,"新規","リピート"))</f>
        <v/>
      </c>
    </row>
    <row r="279" customFormat="false" ht="15" hidden="false" customHeight="false" outlineLevel="0" collapsed="false">
      <c r="A279" s="43"/>
      <c r="B279" s="43"/>
      <c r="C279" s="43"/>
      <c r="D279" s="43"/>
      <c r="E279" s="44"/>
      <c r="F279" s="28" t="str">
        <f aca="false">IF($B279="","",IF(COUNTIF($B$2:$B279,$B279)=1,"新規","リピート"))</f>
        <v/>
      </c>
    </row>
    <row r="280" customFormat="false" ht="15" hidden="false" customHeight="false" outlineLevel="0" collapsed="false">
      <c r="A280" s="43"/>
      <c r="B280" s="43"/>
      <c r="C280" s="43"/>
      <c r="D280" s="43"/>
      <c r="E280" s="44"/>
      <c r="F280" s="28" t="str">
        <f aca="false">IF($B280="","",IF(COUNTIF($B$2:$B280,$B280)=1,"新規","リピート"))</f>
        <v/>
      </c>
    </row>
    <row r="281" customFormat="false" ht="15" hidden="false" customHeight="false" outlineLevel="0" collapsed="false">
      <c r="A281" s="43"/>
      <c r="B281" s="43"/>
      <c r="C281" s="43"/>
      <c r="D281" s="43"/>
      <c r="E281" s="44"/>
      <c r="F281" s="28" t="str">
        <f aca="false">IF($B281="","",IF(COUNTIF($B$2:$B281,$B281)=1,"新規","リピート"))</f>
        <v/>
      </c>
    </row>
    <row r="282" customFormat="false" ht="15" hidden="false" customHeight="false" outlineLevel="0" collapsed="false">
      <c r="A282" s="43"/>
      <c r="B282" s="43"/>
      <c r="C282" s="43"/>
      <c r="D282" s="43"/>
      <c r="E282" s="44"/>
      <c r="F282" s="28" t="str">
        <f aca="false">IF($B282="","",IF(COUNTIF($B$2:$B282,$B282)=1,"新規","リピート"))</f>
        <v/>
      </c>
    </row>
    <row r="283" customFormat="false" ht="15" hidden="false" customHeight="false" outlineLevel="0" collapsed="false">
      <c r="A283" s="43"/>
      <c r="B283" s="43"/>
      <c r="C283" s="43"/>
      <c r="D283" s="43"/>
      <c r="E283" s="44"/>
      <c r="F283" s="28" t="str">
        <f aca="false">IF($B283="","",IF(COUNTIF($B$2:$B283,$B283)=1,"新規","リピート"))</f>
        <v/>
      </c>
    </row>
    <row r="284" customFormat="false" ht="15" hidden="false" customHeight="false" outlineLevel="0" collapsed="false">
      <c r="A284" s="43"/>
      <c r="B284" s="43"/>
      <c r="C284" s="43"/>
      <c r="D284" s="43"/>
      <c r="E284" s="44"/>
      <c r="F284" s="28" t="str">
        <f aca="false">IF($B284="","",IF(COUNTIF($B$2:$B284,$B284)=1,"新規","リピート"))</f>
        <v/>
      </c>
    </row>
    <row r="285" customFormat="false" ht="15" hidden="false" customHeight="false" outlineLevel="0" collapsed="false">
      <c r="A285" s="43"/>
      <c r="B285" s="43"/>
      <c r="C285" s="43"/>
      <c r="D285" s="43"/>
      <c r="E285" s="44"/>
      <c r="F285" s="28" t="str">
        <f aca="false">IF($B285="","",IF(COUNTIF($B$2:$B285,$B285)=1,"新規","リピート"))</f>
        <v/>
      </c>
    </row>
    <row r="286" customFormat="false" ht="15" hidden="false" customHeight="false" outlineLevel="0" collapsed="false">
      <c r="A286" s="43"/>
      <c r="B286" s="43"/>
      <c r="C286" s="43"/>
      <c r="D286" s="43"/>
      <c r="E286" s="44"/>
      <c r="F286" s="28" t="str">
        <f aca="false">IF($B286="","",IF(COUNTIF($B$2:$B286,$B286)=1,"新規","リピート"))</f>
        <v/>
      </c>
    </row>
    <row r="287" customFormat="false" ht="15" hidden="false" customHeight="false" outlineLevel="0" collapsed="false">
      <c r="A287" s="43"/>
      <c r="B287" s="43"/>
      <c r="C287" s="43"/>
      <c r="D287" s="43"/>
      <c r="E287" s="44"/>
      <c r="F287" s="28" t="str">
        <f aca="false">IF($B287="","",IF(COUNTIF($B$2:$B287,$B287)=1,"新規","リピート"))</f>
        <v/>
      </c>
    </row>
    <row r="288" customFormat="false" ht="15" hidden="false" customHeight="false" outlineLevel="0" collapsed="false">
      <c r="A288" s="43"/>
      <c r="B288" s="43"/>
      <c r="C288" s="43"/>
      <c r="D288" s="43"/>
      <c r="E288" s="44"/>
      <c r="F288" s="28" t="str">
        <f aca="false">IF($B288="","",IF(COUNTIF($B$2:$B288,$B288)=1,"新規","リピート"))</f>
        <v/>
      </c>
    </row>
    <row r="289" customFormat="false" ht="15" hidden="false" customHeight="false" outlineLevel="0" collapsed="false">
      <c r="A289" s="43"/>
      <c r="B289" s="43"/>
      <c r="C289" s="43"/>
      <c r="D289" s="43"/>
      <c r="E289" s="44"/>
      <c r="F289" s="28" t="str">
        <f aca="false">IF($B289="","",IF(COUNTIF($B$2:$B289,$B289)=1,"新規","リピート"))</f>
        <v/>
      </c>
    </row>
    <row r="290" customFormat="false" ht="15" hidden="false" customHeight="false" outlineLevel="0" collapsed="false">
      <c r="A290" s="43"/>
      <c r="B290" s="43"/>
      <c r="C290" s="43"/>
      <c r="D290" s="43"/>
      <c r="E290" s="44"/>
      <c r="F290" s="28" t="str">
        <f aca="false">IF($B290="","",IF(COUNTIF($B$2:$B290,$B290)=1,"新規","リピート"))</f>
        <v/>
      </c>
    </row>
    <row r="291" customFormat="false" ht="15" hidden="false" customHeight="false" outlineLevel="0" collapsed="false">
      <c r="A291" s="43"/>
      <c r="B291" s="43"/>
      <c r="C291" s="43"/>
      <c r="D291" s="43"/>
      <c r="E291" s="44"/>
      <c r="F291" s="28" t="str">
        <f aca="false">IF($B291="","",IF(COUNTIF($B$2:$B291,$B291)=1,"新規","リピート"))</f>
        <v/>
      </c>
    </row>
    <row r="292" customFormat="false" ht="15" hidden="false" customHeight="false" outlineLevel="0" collapsed="false">
      <c r="A292" s="43"/>
      <c r="B292" s="43"/>
      <c r="C292" s="43"/>
      <c r="D292" s="43"/>
      <c r="E292" s="44"/>
      <c r="F292" s="28" t="str">
        <f aca="false">IF($B292="","",IF(COUNTIF($B$2:$B292,$B292)=1,"新規","リピート"))</f>
        <v/>
      </c>
    </row>
    <row r="293" customFormat="false" ht="15" hidden="false" customHeight="false" outlineLevel="0" collapsed="false">
      <c r="A293" s="43"/>
      <c r="B293" s="43"/>
      <c r="C293" s="43"/>
      <c r="D293" s="43"/>
      <c r="E293" s="44"/>
      <c r="F293" s="28" t="str">
        <f aca="false">IF($B293="","",IF(COUNTIF($B$2:$B293,$B293)=1,"新規","リピート"))</f>
        <v/>
      </c>
    </row>
    <row r="294" customFormat="false" ht="15" hidden="false" customHeight="false" outlineLevel="0" collapsed="false">
      <c r="A294" s="43"/>
      <c r="B294" s="43"/>
      <c r="C294" s="43"/>
      <c r="D294" s="43"/>
      <c r="E294" s="44"/>
      <c r="F294" s="28" t="str">
        <f aca="false">IF($B294="","",IF(COUNTIF($B$2:$B294,$B294)=1,"新規","リピート"))</f>
        <v/>
      </c>
    </row>
    <row r="295" customFormat="false" ht="15" hidden="false" customHeight="false" outlineLevel="0" collapsed="false">
      <c r="A295" s="43"/>
      <c r="B295" s="43"/>
      <c r="C295" s="43"/>
      <c r="D295" s="43"/>
      <c r="E295" s="44"/>
      <c r="F295" s="28" t="str">
        <f aca="false">IF($B295="","",IF(COUNTIF($B$2:$B295,$B295)=1,"新規","リピート"))</f>
        <v/>
      </c>
    </row>
    <row r="296" customFormat="false" ht="15" hidden="false" customHeight="false" outlineLevel="0" collapsed="false">
      <c r="A296" s="43"/>
      <c r="B296" s="43"/>
      <c r="C296" s="43"/>
      <c r="D296" s="43"/>
      <c r="E296" s="44"/>
      <c r="F296" s="28" t="str">
        <f aca="false">IF($B296="","",IF(COUNTIF($B$2:$B296,$B296)=1,"新規","リピート"))</f>
        <v/>
      </c>
    </row>
    <row r="297" customFormat="false" ht="15" hidden="false" customHeight="false" outlineLevel="0" collapsed="false">
      <c r="A297" s="43"/>
      <c r="B297" s="43"/>
      <c r="C297" s="43"/>
      <c r="D297" s="43"/>
      <c r="E297" s="44"/>
      <c r="F297" s="28" t="str">
        <f aca="false">IF($B297="","",IF(COUNTIF($B$2:$B297,$B297)=1,"新規","リピート"))</f>
        <v/>
      </c>
    </row>
    <row r="298" customFormat="false" ht="15" hidden="false" customHeight="false" outlineLevel="0" collapsed="false">
      <c r="A298" s="43"/>
      <c r="B298" s="43"/>
      <c r="C298" s="43"/>
      <c r="D298" s="43"/>
      <c r="E298" s="44"/>
      <c r="F298" s="28" t="str">
        <f aca="false">IF($B298="","",IF(COUNTIF($B$2:$B298,$B298)=1,"新規","リピート"))</f>
        <v/>
      </c>
    </row>
    <row r="299" customFormat="false" ht="15" hidden="false" customHeight="false" outlineLevel="0" collapsed="false">
      <c r="A299" s="43"/>
      <c r="B299" s="43"/>
      <c r="C299" s="43"/>
      <c r="D299" s="43"/>
      <c r="E299" s="44"/>
      <c r="F299" s="28" t="str">
        <f aca="false">IF($B299="","",IF(COUNTIF($B$2:$B299,$B299)=1,"新規","リピート"))</f>
        <v/>
      </c>
    </row>
    <row r="300" customFormat="false" ht="15" hidden="false" customHeight="false" outlineLevel="0" collapsed="false">
      <c r="A300" s="43"/>
      <c r="B300" s="43"/>
      <c r="C300" s="43"/>
      <c r="D300" s="43"/>
      <c r="E300" s="44"/>
      <c r="F300" s="28" t="str">
        <f aca="false">IF($B300="","",IF(COUNTIF($B$2:$B300,$B300)=1,"新規","リピート"))</f>
        <v/>
      </c>
    </row>
    <row r="301" customFormat="false" ht="15" hidden="false" customHeight="false" outlineLevel="0" collapsed="false">
      <c r="A301" s="43"/>
      <c r="B301" s="43"/>
      <c r="C301" s="43"/>
      <c r="D301" s="43"/>
      <c r="E301" s="44"/>
      <c r="F301" s="28" t="str">
        <f aca="false">IF($B301="","",IF(COUNTIF($B$2:$B301,$B301)=1,"新規","リピート"))</f>
        <v/>
      </c>
    </row>
    <row r="302" customFormat="false" ht="15" hidden="false" customHeight="false" outlineLevel="0" collapsed="false">
      <c r="A302" s="43"/>
      <c r="B302" s="43"/>
      <c r="C302" s="43"/>
      <c r="D302" s="43"/>
      <c r="E302" s="44"/>
      <c r="F302" s="28" t="str">
        <f aca="false">IF($B302="","",IF(COUNTIF($B$2:$B302,$B302)=1,"新規","リピート"))</f>
        <v/>
      </c>
    </row>
    <row r="303" customFormat="false" ht="15" hidden="false" customHeight="false" outlineLevel="0" collapsed="false">
      <c r="A303" s="43"/>
      <c r="B303" s="43"/>
      <c r="C303" s="43"/>
      <c r="D303" s="43"/>
      <c r="E303" s="44"/>
      <c r="F303" s="28" t="str">
        <f aca="false">IF($B303="","",IF(COUNTIF($B$2:$B303,$B303)=1,"新規","リピート"))</f>
        <v/>
      </c>
    </row>
    <row r="304" customFormat="false" ht="15" hidden="false" customHeight="false" outlineLevel="0" collapsed="false">
      <c r="A304" s="43"/>
      <c r="B304" s="43"/>
      <c r="C304" s="43"/>
      <c r="D304" s="43"/>
      <c r="E304" s="44"/>
      <c r="F304" s="28" t="str">
        <f aca="false">IF($B304="","",IF(COUNTIF($B$2:$B304,$B304)=1,"新規","リピート"))</f>
        <v/>
      </c>
    </row>
    <row r="305" customFormat="false" ht="15" hidden="false" customHeight="false" outlineLevel="0" collapsed="false">
      <c r="A305" s="43"/>
      <c r="B305" s="43"/>
      <c r="C305" s="43"/>
      <c r="D305" s="43"/>
      <c r="E305" s="44"/>
      <c r="F305" s="28" t="str">
        <f aca="false">IF($B305="","",IF(COUNTIF($B$2:$B305,$B305)=1,"新規","リピート"))</f>
        <v/>
      </c>
    </row>
    <row r="306" customFormat="false" ht="15" hidden="false" customHeight="false" outlineLevel="0" collapsed="false">
      <c r="A306" s="43"/>
      <c r="B306" s="43"/>
      <c r="C306" s="43"/>
      <c r="D306" s="43"/>
      <c r="E306" s="44"/>
      <c r="F306" s="28" t="str">
        <f aca="false">IF($B306="","",IF(COUNTIF($B$2:$B306,$B306)=1,"新規","リピート"))</f>
        <v/>
      </c>
    </row>
    <row r="307" customFormat="false" ht="15" hidden="false" customHeight="false" outlineLevel="0" collapsed="false">
      <c r="A307" s="43"/>
      <c r="B307" s="43"/>
      <c r="C307" s="43"/>
      <c r="D307" s="43"/>
      <c r="E307" s="44"/>
      <c r="F307" s="28" t="str">
        <f aca="false">IF($B307="","",IF(COUNTIF($B$2:$B307,$B307)=1,"新規","リピート"))</f>
        <v/>
      </c>
    </row>
    <row r="308" customFormat="false" ht="15" hidden="false" customHeight="false" outlineLevel="0" collapsed="false">
      <c r="A308" s="43"/>
      <c r="B308" s="43"/>
      <c r="C308" s="43"/>
      <c r="D308" s="43"/>
      <c r="E308" s="44"/>
      <c r="F308" s="28" t="str">
        <f aca="false">IF($B308="","",IF(COUNTIF($B$2:$B308,$B308)=1,"新規","リピート"))</f>
        <v/>
      </c>
    </row>
    <row r="309" customFormat="false" ht="15" hidden="false" customHeight="false" outlineLevel="0" collapsed="false">
      <c r="A309" s="43"/>
      <c r="B309" s="43"/>
      <c r="C309" s="43"/>
      <c r="D309" s="43"/>
      <c r="E309" s="44"/>
      <c r="F309" s="28" t="str">
        <f aca="false">IF($B309="","",IF(COUNTIF($B$2:$B309,$B309)=1,"新規","リピート"))</f>
        <v/>
      </c>
    </row>
    <row r="310" customFormat="false" ht="15" hidden="false" customHeight="false" outlineLevel="0" collapsed="false">
      <c r="A310" s="43"/>
      <c r="B310" s="43"/>
      <c r="C310" s="43"/>
      <c r="D310" s="43"/>
      <c r="E310" s="44"/>
      <c r="F310" s="28" t="str">
        <f aca="false">IF($B310="","",IF(COUNTIF($B$2:$B310,$B310)=1,"新規","リピート"))</f>
        <v/>
      </c>
    </row>
    <row r="311" customFormat="false" ht="15" hidden="false" customHeight="false" outlineLevel="0" collapsed="false">
      <c r="A311" s="43"/>
      <c r="B311" s="43"/>
      <c r="C311" s="43"/>
      <c r="D311" s="43"/>
      <c r="E311" s="44"/>
      <c r="F311" s="28" t="str">
        <f aca="false">IF($B311="","",IF(COUNTIF($B$2:$B311,$B311)=1,"新規","リピート"))</f>
        <v/>
      </c>
    </row>
    <row r="312" customFormat="false" ht="15" hidden="false" customHeight="false" outlineLevel="0" collapsed="false">
      <c r="A312" s="43"/>
      <c r="B312" s="43"/>
      <c r="C312" s="43"/>
      <c r="D312" s="43"/>
      <c r="E312" s="44"/>
      <c r="F312" s="28" t="str">
        <f aca="false">IF($B312="","",IF(COUNTIF($B$2:$B312,$B312)=1,"新規","リピート"))</f>
        <v/>
      </c>
    </row>
    <row r="313" customFormat="false" ht="15" hidden="false" customHeight="false" outlineLevel="0" collapsed="false">
      <c r="A313" s="43"/>
      <c r="B313" s="43"/>
      <c r="C313" s="43"/>
      <c r="D313" s="43"/>
      <c r="E313" s="44"/>
      <c r="F313" s="28" t="str">
        <f aca="false">IF($B313="","",IF(COUNTIF($B$2:$B313,$B313)=1,"新規","リピート"))</f>
        <v/>
      </c>
    </row>
    <row r="314" customFormat="false" ht="15" hidden="false" customHeight="false" outlineLevel="0" collapsed="false">
      <c r="A314" s="43"/>
      <c r="B314" s="43"/>
      <c r="C314" s="43"/>
      <c r="D314" s="43"/>
      <c r="E314" s="44"/>
      <c r="F314" s="28" t="str">
        <f aca="false">IF($B314="","",IF(COUNTIF($B$2:$B314,$B314)=1,"新規","リピート"))</f>
        <v/>
      </c>
    </row>
    <row r="315" customFormat="false" ht="15" hidden="false" customHeight="false" outlineLevel="0" collapsed="false">
      <c r="A315" s="43"/>
      <c r="B315" s="43"/>
      <c r="C315" s="43"/>
      <c r="D315" s="43"/>
      <c r="E315" s="44"/>
      <c r="F315" s="28" t="str">
        <f aca="false">IF($B315="","",IF(COUNTIF($B$2:$B315,$B315)=1,"新規","リピート"))</f>
        <v/>
      </c>
    </row>
    <row r="316" customFormat="false" ht="15" hidden="false" customHeight="false" outlineLevel="0" collapsed="false">
      <c r="A316" s="43"/>
      <c r="B316" s="43"/>
      <c r="C316" s="43"/>
      <c r="D316" s="43"/>
      <c r="E316" s="44"/>
      <c r="F316" s="28" t="str">
        <f aca="false">IF($B316="","",IF(COUNTIF($B$2:$B316,$B316)=1,"新規","リピート"))</f>
        <v/>
      </c>
    </row>
    <row r="317" customFormat="false" ht="15" hidden="false" customHeight="false" outlineLevel="0" collapsed="false">
      <c r="A317" s="43"/>
      <c r="B317" s="43"/>
      <c r="C317" s="43"/>
      <c r="D317" s="43"/>
      <c r="E317" s="44"/>
      <c r="F317" s="28" t="str">
        <f aca="false">IF($B317="","",IF(COUNTIF($B$2:$B317,$B317)=1,"新規","リピート"))</f>
        <v/>
      </c>
    </row>
    <row r="318" customFormat="false" ht="15" hidden="false" customHeight="false" outlineLevel="0" collapsed="false">
      <c r="A318" s="43"/>
      <c r="B318" s="43"/>
      <c r="C318" s="43"/>
      <c r="D318" s="43"/>
      <c r="E318" s="44"/>
      <c r="F318" s="28" t="str">
        <f aca="false">IF($B318="","",IF(COUNTIF($B$2:$B318,$B318)=1,"新規","リピート"))</f>
        <v/>
      </c>
    </row>
    <row r="319" customFormat="false" ht="15" hidden="false" customHeight="false" outlineLevel="0" collapsed="false">
      <c r="A319" s="43"/>
      <c r="B319" s="43"/>
      <c r="C319" s="43"/>
      <c r="D319" s="43"/>
      <c r="E319" s="44"/>
      <c r="F319" s="28" t="str">
        <f aca="false">IF($B319="","",IF(COUNTIF($B$2:$B319,$B319)=1,"新規","リピート"))</f>
        <v/>
      </c>
    </row>
    <row r="320" customFormat="false" ht="15" hidden="false" customHeight="false" outlineLevel="0" collapsed="false">
      <c r="A320" s="43"/>
      <c r="B320" s="43"/>
      <c r="C320" s="43"/>
      <c r="D320" s="43"/>
      <c r="E320" s="44"/>
      <c r="F320" s="28" t="str">
        <f aca="false">IF($B320="","",IF(COUNTIF($B$2:$B320,$B320)=1,"新規","リピート"))</f>
        <v/>
      </c>
    </row>
    <row r="321" customFormat="false" ht="15" hidden="false" customHeight="false" outlineLevel="0" collapsed="false">
      <c r="A321" s="43"/>
      <c r="B321" s="43"/>
      <c r="C321" s="43"/>
      <c r="D321" s="43"/>
      <c r="E321" s="44"/>
      <c r="F321" s="28" t="str">
        <f aca="false">IF($B321="","",IF(COUNTIF($B$2:$B321,$B321)=1,"新規","リピート"))</f>
        <v/>
      </c>
    </row>
    <row r="322" customFormat="false" ht="15" hidden="false" customHeight="false" outlineLevel="0" collapsed="false">
      <c r="A322" s="43"/>
      <c r="B322" s="43"/>
      <c r="C322" s="43"/>
      <c r="D322" s="43"/>
      <c r="E322" s="44"/>
      <c r="F322" s="28" t="str">
        <f aca="false">IF($B322="","",IF(COUNTIF($B$2:$B322,$B322)=1,"新規","リピート"))</f>
        <v/>
      </c>
    </row>
    <row r="323" customFormat="false" ht="15" hidden="false" customHeight="false" outlineLevel="0" collapsed="false">
      <c r="A323" s="43"/>
      <c r="B323" s="43"/>
      <c r="C323" s="43"/>
      <c r="D323" s="43"/>
      <c r="E323" s="44"/>
      <c r="F323" s="28" t="str">
        <f aca="false">IF($B323="","",IF(COUNTIF($B$2:$B323,$B323)=1,"新規","リピート"))</f>
        <v/>
      </c>
    </row>
    <row r="324" customFormat="false" ht="15" hidden="false" customHeight="false" outlineLevel="0" collapsed="false">
      <c r="A324" s="43"/>
      <c r="B324" s="43"/>
      <c r="C324" s="43"/>
      <c r="D324" s="43"/>
      <c r="E324" s="44"/>
      <c r="F324" s="28" t="str">
        <f aca="false">IF($B324="","",IF(COUNTIF($B$2:$B324,$B324)=1,"新規","リピート"))</f>
        <v/>
      </c>
    </row>
    <row r="325" customFormat="false" ht="15" hidden="false" customHeight="false" outlineLevel="0" collapsed="false">
      <c r="A325" s="43"/>
      <c r="B325" s="43"/>
      <c r="C325" s="43"/>
      <c r="D325" s="43"/>
      <c r="E325" s="44"/>
      <c r="F325" s="28" t="str">
        <f aca="false">IF($B325="","",IF(COUNTIF($B$2:$B325,$B325)=1,"新規","リピート"))</f>
        <v/>
      </c>
    </row>
    <row r="326" customFormat="false" ht="15" hidden="false" customHeight="false" outlineLevel="0" collapsed="false">
      <c r="A326" s="43"/>
      <c r="B326" s="43"/>
      <c r="C326" s="43"/>
      <c r="D326" s="43"/>
      <c r="E326" s="44"/>
      <c r="F326" s="28" t="str">
        <f aca="false">IF($B326="","",IF(COUNTIF($B$2:$B326,$B326)=1,"新規","リピート"))</f>
        <v/>
      </c>
    </row>
    <row r="327" customFormat="false" ht="15" hidden="false" customHeight="false" outlineLevel="0" collapsed="false">
      <c r="A327" s="43"/>
      <c r="B327" s="43"/>
      <c r="C327" s="43"/>
      <c r="D327" s="43"/>
      <c r="E327" s="44"/>
      <c r="F327" s="28" t="str">
        <f aca="false">IF($B327="","",IF(COUNTIF($B$2:$B327,$B327)=1,"新規","リピート"))</f>
        <v/>
      </c>
    </row>
    <row r="328" customFormat="false" ht="15" hidden="false" customHeight="false" outlineLevel="0" collapsed="false">
      <c r="A328" s="43"/>
      <c r="B328" s="43"/>
      <c r="C328" s="43"/>
      <c r="D328" s="43"/>
      <c r="E328" s="44"/>
      <c r="F328" s="28" t="str">
        <f aca="false">IF($B328="","",IF(COUNTIF($B$2:$B328,$B328)=1,"新規","リピート"))</f>
        <v/>
      </c>
    </row>
    <row r="329" customFormat="false" ht="15" hidden="false" customHeight="false" outlineLevel="0" collapsed="false">
      <c r="A329" s="43"/>
      <c r="B329" s="43"/>
      <c r="C329" s="43"/>
      <c r="D329" s="43"/>
      <c r="E329" s="44"/>
      <c r="F329" s="28" t="str">
        <f aca="false">IF($B329="","",IF(COUNTIF($B$2:$B329,$B329)=1,"新規","リピート"))</f>
        <v/>
      </c>
    </row>
    <row r="330" customFormat="false" ht="15" hidden="false" customHeight="false" outlineLevel="0" collapsed="false">
      <c r="A330" s="43"/>
      <c r="B330" s="43"/>
      <c r="C330" s="43"/>
      <c r="D330" s="43"/>
      <c r="E330" s="44"/>
      <c r="F330" s="28" t="str">
        <f aca="false">IF($B330="","",IF(COUNTIF($B$2:$B330,$B330)=1,"新規","リピート"))</f>
        <v/>
      </c>
    </row>
    <row r="331" customFormat="false" ht="15" hidden="false" customHeight="false" outlineLevel="0" collapsed="false">
      <c r="A331" s="43"/>
      <c r="B331" s="43"/>
      <c r="C331" s="43"/>
      <c r="D331" s="43"/>
      <c r="E331" s="44"/>
      <c r="F331" s="28" t="str">
        <f aca="false">IF($B331="","",IF(COUNTIF($B$2:$B331,$B331)=1,"新規","リピート"))</f>
        <v/>
      </c>
    </row>
    <row r="332" customFormat="false" ht="15" hidden="false" customHeight="false" outlineLevel="0" collapsed="false">
      <c r="A332" s="43"/>
      <c r="B332" s="43"/>
      <c r="C332" s="43"/>
      <c r="D332" s="43"/>
      <c r="E332" s="44"/>
      <c r="F332" s="28" t="str">
        <f aca="false">IF($B332="","",IF(COUNTIF($B$2:$B332,$B332)=1,"新規","リピート"))</f>
        <v/>
      </c>
    </row>
    <row r="333" customFormat="false" ht="15" hidden="false" customHeight="false" outlineLevel="0" collapsed="false">
      <c r="A333" s="43"/>
      <c r="B333" s="43"/>
      <c r="C333" s="43"/>
      <c r="D333" s="43"/>
      <c r="E333" s="44"/>
      <c r="F333" s="28" t="str">
        <f aca="false">IF($B333="","",IF(COUNTIF($B$2:$B333,$B333)=1,"新規","リピート"))</f>
        <v/>
      </c>
    </row>
    <row r="334" customFormat="false" ht="15" hidden="false" customHeight="false" outlineLevel="0" collapsed="false">
      <c r="A334" s="43"/>
      <c r="B334" s="43"/>
      <c r="C334" s="43"/>
      <c r="D334" s="43"/>
      <c r="E334" s="44"/>
      <c r="F334" s="28" t="str">
        <f aca="false">IF($B334="","",IF(COUNTIF($B$2:$B334,$B334)=1,"新規","リピート"))</f>
        <v/>
      </c>
    </row>
    <row r="335" customFormat="false" ht="15" hidden="false" customHeight="false" outlineLevel="0" collapsed="false">
      <c r="A335" s="43"/>
      <c r="B335" s="43"/>
      <c r="C335" s="43"/>
      <c r="D335" s="43"/>
      <c r="E335" s="44"/>
      <c r="F335" s="28" t="str">
        <f aca="false">IF($B335="","",IF(COUNTIF($B$2:$B335,$B335)=1,"新規","リピート"))</f>
        <v/>
      </c>
    </row>
    <row r="336" customFormat="false" ht="15" hidden="false" customHeight="false" outlineLevel="0" collapsed="false">
      <c r="A336" s="43"/>
      <c r="B336" s="43"/>
      <c r="C336" s="43"/>
      <c r="D336" s="43"/>
      <c r="E336" s="44"/>
      <c r="F336" s="28" t="str">
        <f aca="false">IF($B336="","",IF(COUNTIF($B$2:$B336,$B336)=1,"新規","リピート"))</f>
        <v/>
      </c>
    </row>
    <row r="337" customFormat="false" ht="15" hidden="false" customHeight="false" outlineLevel="0" collapsed="false">
      <c r="A337" s="43"/>
      <c r="B337" s="43"/>
      <c r="C337" s="43"/>
      <c r="D337" s="43"/>
      <c r="E337" s="44"/>
      <c r="F337" s="28" t="str">
        <f aca="false">IF($B337="","",IF(COUNTIF($B$2:$B337,$B337)=1,"新規","リピート"))</f>
        <v/>
      </c>
    </row>
    <row r="338" customFormat="false" ht="15" hidden="false" customHeight="false" outlineLevel="0" collapsed="false">
      <c r="A338" s="43"/>
      <c r="B338" s="43"/>
      <c r="C338" s="43"/>
      <c r="D338" s="43"/>
      <c r="E338" s="44"/>
      <c r="F338" s="28" t="str">
        <f aca="false">IF($B338="","",IF(COUNTIF($B$2:$B338,$B338)=1,"新規","リピート"))</f>
        <v/>
      </c>
    </row>
    <row r="339" customFormat="false" ht="15" hidden="false" customHeight="false" outlineLevel="0" collapsed="false">
      <c r="A339" s="43"/>
      <c r="B339" s="43"/>
      <c r="C339" s="43"/>
      <c r="D339" s="43"/>
      <c r="E339" s="44"/>
      <c r="F339" s="28" t="str">
        <f aca="false">IF($B339="","",IF(COUNTIF($B$2:$B339,$B339)=1,"新規","リピート"))</f>
        <v/>
      </c>
    </row>
    <row r="340" customFormat="false" ht="15" hidden="false" customHeight="false" outlineLevel="0" collapsed="false">
      <c r="A340" s="43"/>
      <c r="B340" s="43"/>
      <c r="C340" s="43"/>
      <c r="D340" s="43"/>
      <c r="E340" s="44"/>
      <c r="F340" s="28" t="str">
        <f aca="false">IF($B340="","",IF(COUNTIF($B$2:$B340,$B340)=1,"新規","リピート"))</f>
        <v/>
      </c>
    </row>
    <row r="341" customFormat="false" ht="15" hidden="false" customHeight="false" outlineLevel="0" collapsed="false">
      <c r="A341" s="43"/>
      <c r="B341" s="43"/>
      <c r="C341" s="43"/>
      <c r="D341" s="43"/>
      <c r="E341" s="44"/>
      <c r="F341" s="28" t="str">
        <f aca="false">IF($B341="","",IF(COUNTIF($B$2:$B341,$B341)=1,"新規","リピート"))</f>
        <v/>
      </c>
    </row>
    <row r="342" customFormat="false" ht="15" hidden="false" customHeight="false" outlineLevel="0" collapsed="false">
      <c r="A342" s="43"/>
      <c r="B342" s="43"/>
      <c r="C342" s="43"/>
      <c r="D342" s="43"/>
      <c r="E342" s="44"/>
      <c r="F342" s="28" t="str">
        <f aca="false">IF($B342="","",IF(COUNTIF($B$2:$B342,$B342)=1,"新規","リピート"))</f>
        <v/>
      </c>
    </row>
    <row r="343" customFormat="false" ht="15" hidden="false" customHeight="false" outlineLevel="0" collapsed="false">
      <c r="A343" s="43"/>
      <c r="B343" s="43"/>
      <c r="C343" s="43"/>
      <c r="D343" s="43"/>
      <c r="E343" s="44"/>
      <c r="F343" s="28" t="str">
        <f aca="false">IF($B343="","",IF(COUNTIF($B$2:$B343,$B343)=1,"新規","リピート"))</f>
        <v/>
      </c>
    </row>
    <row r="344" customFormat="false" ht="15" hidden="false" customHeight="false" outlineLevel="0" collapsed="false">
      <c r="A344" s="43"/>
      <c r="B344" s="43"/>
      <c r="C344" s="43"/>
      <c r="D344" s="43"/>
      <c r="E344" s="44"/>
      <c r="F344" s="28" t="str">
        <f aca="false">IF($B344="","",IF(COUNTIF($B$2:$B344,$B344)=1,"新規","リピート"))</f>
        <v/>
      </c>
    </row>
    <row r="345" customFormat="false" ht="15" hidden="false" customHeight="false" outlineLevel="0" collapsed="false">
      <c r="A345" s="43"/>
      <c r="B345" s="43"/>
      <c r="C345" s="43"/>
      <c r="D345" s="43"/>
      <c r="E345" s="44"/>
      <c r="F345" s="28" t="str">
        <f aca="false">IF($B345="","",IF(COUNTIF($B$2:$B345,$B345)=1,"新規","リピート"))</f>
        <v/>
      </c>
    </row>
    <row r="346" customFormat="false" ht="15" hidden="false" customHeight="false" outlineLevel="0" collapsed="false">
      <c r="A346" s="43"/>
      <c r="B346" s="43"/>
      <c r="C346" s="43"/>
      <c r="D346" s="43"/>
      <c r="E346" s="44"/>
      <c r="F346" s="28" t="str">
        <f aca="false">IF($B346="","",IF(COUNTIF($B$2:$B346,$B346)=1,"新規","リピート"))</f>
        <v/>
      </c>
    </row>
    <row r="347" customFormat="false" ht="15" hidden="false" customHeight="false" outlineLevel="0" collapsed="false">
      <c r="A347" s="43"/>
      <c r="B347" s="43"/>
      <c r="C347" s="43"/>
      <c r="D347" s="43"/>
      <c r="E347" s="44"/>
      <c r="F347" s="28" t="str">
        <f aca="false">IF($B347="","",IF(COUNTIF($B$2:$B347,$B347)=1,"新規","リピート"))</f>
        <v/>
      </c>
    </row>
    <row r="348" customFormat="false" ht="15" hidden="false" customHeight="false" outlineLevel="0" collapsed="false">
      <c r="A348" s="43"/>
      <c r="B348" s="43"/>
      <c r="C348" s="43"/>
      <c r="D348" s="43"/>
      <c r="E348" s="44"/>
      <c r="F348" s="28" t="str">
        <f aca="false">IF($B348="","",IF(COUNTIF($B$2:$B348,$B348)=1,"新規","リピート"))</f>
        <v/>
      </c>
    </row>
    <row r="349" customFormat="false" ht="15" hidden="false" customHeight="false" outlineLevel="0" collapsed="false">
      <c r="A349" s="43"/>
      <c r="B349" s="43"/>
      <c r="C349" s="43"/>
      <c r="D349" s="43"/>
      <c r="E349" s="44"/>
      <c r="F349" s="28" t="str">
        <f aca="false">IF($B349="","",IF(COUNTIF($B$2:$B349,$B349)=1,"新規","リピート"))</f>
        <v/>
      </c>
    </row>
    <row r="350" customFormat="false" ht="15" hidden="false" customHeight="false" outlineLevel="0" collapsed="false">
      <c r="A350" s="43"/>
      <c r="B350" s="43"/>
      <c r="C350" s="43"/>
      <c r="D350" s="43"/>
      <c r="E350" s="44"/>
      <c r="F350" s="28" t="str">
        <f aca="false">IF($B350="","",IF(COUNTIF($B$2:$B350,$B350)=1,"新規","リピート"))</f>
        <v/>
      </c>
    </row>
    <row r="351" customFormat="false" ht="15" hidden="false" customHeight="false" outlineLevel="0" collapsed="false">
      <c r="A351" s="43"/>
      <c r="B351" s="43"/>
      <c r="C351" s="43"/>
      <c r="D351" s="43"/>
      <c r="E351" s="44"/>
      <c r="F351" s="28" t="str">
        <f aca="false">IF($B351="","",IF(COUNTIF($B$2:$B351,$B351)=1,"新規","リピート"))</f>
        <v/>
      </c>
    </row>
    <row r="352" customFormat="false" ht="15" hidden="false" customHeight="false" outlineLevel="0" collapsed="false">
      <c r="A352" s="43"/>
      <c r="B352" s="43"/>
      <c r="C352" s="43"/>
      <c r="D352" s="43"/>
      <c r="E352" s="44"/>
      <c r="F352" s="28" t="str">
        <f aca="false">IF($B352="","",IF(COUNTIF($B$2:$B352,$B352)=1,"新規","リピート"))</f>
        <v/>
      </c>
    </row>
    <row r="353" customFormat="false" ht="15" hidden="false" customHeight="false" outlineLevel="0" collapsed="false">
      <c r="A353" s="43"/>
      <c r="B353" s="43"/>
      <c r="C353" s="43"/>
      <c r="D353" s="43"/>
      <c r="E353" s="44"/>
      <c r="F353" s="28" t="str">
        <f aca="false">IF($B353="","",IF(COUNTIF($B$2:$B353,$B353)=1,"新規","リピート"))</f>
        <v/>
      </c>
    </row>
    <row r="354" customFormat="false" ht="15" hidden="false" customHeight="false" outlineLevel="0" collapsed="false">
      <c r="A354" s="43"/>
      <c r="B354" s="43"/>
      <c r="C354" s="43"/>
      <c r="D354" s="43"/>
      <c r="E354" s="44"/>
      <c r="F354" s="28" t="str">
        <f aca="false">IF($B354="","",IF(COUNTIF($B$2:$B354,$B354)=1,"新規","リピート"))</f>
        <v/>
      </c>
    </row>
    <row r="355" customFormat="false" ht="15" hidden="false" customHeight="false" outlineLevel="0" collapsed="false">
      <c r="A355" s="43"/>
      <c r="B355" s="43"/>
      <c r="C355" s="43"/>
      <c r="D355" s="43"/>
      <c r="E355" s="44"/>
      <c r="F355" s="28" t="str">
        <f aca="false">IF($B355="","",IF(COUNTIF($B$2:$B355,$B355)=1,"新規","リピート"))</f>
        <v/>
      </c>
    </row>
    <row r="356" customFormat="false" ht="15" hidden="false" customHeight="false" outlineLevel="0" collapsed="false">
      <c r="A356" s="43"/>
      <c r="B356" s="43"/>
      <c r="C356" s="43"/>
      <c r="D356" s="43"/>
      <c r="E356" s="44"/>
      <c r="F356" s="28" t="str">
        <f aca="false">IF($B356="","",IF(COUNTIF($B$2:$B356,$B356)=1,"新規","リピート"))</f>
        <v/>
      </c>
    </row>
    <row r="357" customFormat="false" ht="15" hidden="false" customHeight="false" outlineLevel="0" collapsed="false">
      <c r="A357" s="43"/>
      <c r="B357" s="43"/>
      <c r="C357" s="43"/>
      <c r="D357" s="43"/>
      <c r="E357" s="44"/>
      <c r="F357" s="28" t="str">
        <f aca="false">IF($B357="","",IF(COUNTIF($B$2:$B357,$B357)=1,"新規","リピート"))</f>
        <v/>
      </c>
    </row>
    <row r="358" customFormat="false" ht="15" hidden="false" customHeight="false" outlineLevel="0" collapsed="false">
      <c r="A358" s="43"/>
      <c r="B358" s="43"/>
      <c r="C358" s="43"/>
      <c r="D358" s="43"/>
      <c r="E358" s="44"/>
      <c r="F358" s="28" t="str">
        <f aca="false">IF($B358="","",IF(COUNTIF($B$2:$B358,$B358)=1,"新規","リピート"))</f>
        <v/>
      </c>
    </row>
    <row r="359" customFormat="false" ht="15" hidden="false" customHeight="false" outlineLevel="0" collapsed="false">
      <c r="A359" s="43"/>
      <c r="B359" s="43"/>
      <c r="C359" s="43"/>
      <c r="D359" s="43"/>
      <c r="E359" s="44"/>
      <c r="F359" s="28" t="str">
        <f aca="false">IF($B359="","",IF(COUNTIF($B$2:$B359,$B359)=1,"新規","リピート"))</f>
        <v/>
      </c>
    </row>
    <row r="360" customFormat="false" ht="15" hidden="false" customHeight="false" outlineLevel="0" collapsed="false">
      <c r="A360" s="43"/>
      <c r="B360" s="43"/>
      <c r="C360" s="43"/>
      <c r="D360" s="43"/>
      <c r="E360" s="44"/>
      <c r="F360" s="28" t="str">
        <f aca="false">IF($B360="","",IF(COUNTIF($B$2:$B360,$B360)=1,"新規","リピート"))</f>
        <v/>
      </c>
    </row>
    <row r="361" customFormat="false" ht="15" hidden="false" customHeight="false" outlineLevel="0" collapsed="false">
      <c r="A361" s="43"/>
      <c r="B361" s="43"/>
      <c r="C361" s="43"/>
      <c r="D361" s="43"/>
      <c r="E361" s="44"/>
      <c r="F361" s="28" t="str">
        <f aca="false">IF($B361="","",IF(COUNTIF($B$2:$B361,$B361)=1,"新規","リピート"))</f>
        <v/>
      </c>
    </row>
    <row r="362" customFormat="false" ht="15" hidden="false" customHeight="false" outlineLevel="0" collapsed="false">
      <c r="A362" s="43"/>
      <c r="B362" s="43"/>
      <c r="C362" s="43"/>
      <c r="D362" s="43"/>
      <c r="E362" s="44"/>
      <c r="F362" s="28" t="str">
        <f aca="false">IF($B362="","",IF(COUNTIF($B$2:$B362,$B362)=1,"新規","リピート"))</f>
        <v/>
      </c>
    </row>
    <row r="363" customFormat="false" ht="15" hidden="false" customHeight="false" outlineLevel="0" collapsed="false">
      <c r="A363" s="43"/>
      <c r="B363" s="43"/>
      <c r="C363" s="43"/>
      <c r="D363" s="43"/>
      <c r="E363" s="44"/>
      <c r="F363" s="28" t="str">
        <f aca="false">IF($B363="","",IF(COUNTIF($B$2:$B363,$B363)=1,"新規","リピート"))</f>
        <v/>
      </c>
    </row>
    <row r="364" customFormat="false" ht="15" hidden="false" customHeight="false" outlineLevel="0" collapsed="false">
      <c r="A364" s="43"/>
      <c r="B364" s="43"/>
      <c r="C364" s="43"/>
      <c r="D364" s="43"/>
      <c r="E364" s="44"/>
      <c r="F364" s="28" t="str">
        <f aca="false">IF($B364="","",IF(COUNTIF($B$2:$B364,$B364)=1,"新規","リピート"))</f>
        <v/>
      </c>
    </row>
    <row r="365" customFormat="false" ht="15" hidden="false" customHeight="false" outlineLevel="0" collapsed="false">
      <c r="A365" s="43"/>
      <c r="B365" s="43"/>
      <c r="C365" s="43"/>
      <c r="D365" s="43"/>
      <c r="E365" s="44"/>
      <c r="F365" s="28" t="str">
        <f aca="false">IF($B365="","",IF(COUNTIF($B$2:$B365,$B365)=1,"新規","リピート"))</f>
        <v/>
      </c>
    </row>
    <row r="366" customFormat="false" ht="15" hidden="false" customHeight="false" outlineLevel="0" collapsed="false">
      <c r="A366" s="43"/>
      <c r="B366" s="43"/>
      <c r="C366" s="43"/>
      <c r="D366" s="43"/>
      <c r="E366" s="44"/>
      <c r="F366" s="28" t="str">
        <f aca="false">IF($B366="","",IF(COUNTIF($B$2:$B366,$B366)=1,"新規","リピート"))</f>
        <v/>
      </c>
    </row>
    <row r="367" customFormat="false" ht="15" hidden="false" customHeight="false" outlineLevel="0" collapsed="false">
      <c r="A367" s="43"/>
      <c r="B367" s="43"/>
      <c r="C367" s="43"/>
      <c r="D367" s="43"/>
      <c r="E367" s="44"/>
      <c r="F367" s="28" t="str">
        <f aca="false">IF($B367="","",IF(COUNTIF($B$2:$B367,$B367)=1,"新規","リピート"))</f>
        <v/>
      </c>
    </row>
    <row r="368" customFormat="false" ht="15" hidden="false" customHeight="false" outlineLevel="0" collapsed="false">
      <c r="A368" s="43"/>
      <c r="B368" s="43"/>
      <c r="C368" s="43"/>
      <c r="D368" s="43"/>
      <c r="E368" s="44"/>
      <c r="F368" s="28" t="str">
        <f aca="false">IF($B368="","",IF(COUNTIF($B$2:$B368,$B368)=1,"新規","リピート"))</f>
        <v/>
      </c>
    </row>
    <row r="369" customFormat="false" ht="15" hidden="false" customHeight="false" outlineLevel="0" collapsed="false">
      <c r="A369" s="43"/>
      <c r="B369" s="43"/>
      <c r="C369" s="43"/>
      <c r="D369" s="43"/>
      <c r="E369" s="44"/>
      <c r="F369" s="28" t="str">
        <f aca="false">IF($B369="","",IF(COUNTIF($B$2:$B369,$B369)=1,"新規","リピート"))</f>
        <v/>
      </c>
    </row>
    <row r="370" customFormat="false" ht="15" hidden="false" customHeight="false" outlineLevel="0" collapsed="false">
      <c r="A370" s="43"/>
      <c r="B370" s="43"/>
      <c r="C370" s="43"/>
      <c r="D370" s="43"/>
      <c r="E370" s="44"/>
      <c r="F370" s="28" t="str">
        <f aca="false">IF($B370="","",IF(COUNTIF($B$2:$B370,$B370)=1,"新規","リピート"))</f>
        <v/>
      </c>
    </row>
    <row r="371" customFormat="false" ht="15" hidden="false" customHeight="false" outlineLevel="0" collapsed="false">
      <c r="A371" s="43"/>
      <c r="B371" s="43"/>
      <c r="C371" s="43"/>
      <c r="D371" s="43"/>
      <c r="E371" s="44"/>
      <c r="F371" s="28" t="str">
        <f aca="false">IF($B371="","",IF(COUNTIF($B$2:$B371,$B371)=1,"新規","リピート"))</f>
        <v/>
      </c>
    </row>
    <row r="372" customFormat="false" ht="15" hidden="false" customHeight="false" outlineLevel="0" collapsed="false">
      <c r="A372" s="43"/>
      <c r="B372" s="43"/>
      <c r="C372" s="43"/>
      <c r="D372" s="43"/>
      <c r="E372" s="44"/>
      <c r="F372" s="28" t="str">
        <f aca="false">IF($B372="","",IF(COUNTIF($B$2:$B372,$B372)=1,"新規","リピート"))</f>
        <v/>
      </c>
    </row>
    <row r="373" customFormat="false" ht="15" hidden="false" customHeight="false" outlineLevel="0" collapsed="false">
      <c r="A373" s="43"/>
      <c r="B373" s="43"/>
      <c r="C373" s="43"/>
      <c r="D373" s="43"/>
      <c r="E373" s="44"/>
      <c r="F373" s="28" t="str">
        <f aca="false">IF($B373="","",IF(COUNTIF($B$2:$B373,$B373)=1,"新規","リピート"))</f>
        <v/>
      </c>
    </row>
    <row r="374" customFormat="false" ht="15" hidden="false" customHeight="false" outlineLevel="0" collapsed="false">
      <c r="A374" s="43"/>
      <c r="B374" s="43"/>
      <c r="C374" s="43"/>
      <c r="D374" s="43"/>
      <c r="E374" s="44"/>
      <c r="F374" s="28" t="str">
        <f aca="false">IF($B374="","",IF(COUNTIF($B$2:$B374,$B374)=1,"新規","リピート"))</f>
        <v/>
      </c>
    </row>
    <row r="375" customFormat="false" ht="15" hidden="false" customHeight="false" outlineLevel="0" collapsed="false">
      <c r="A375" s="43"/>
      <c r="B375" s="43"/>
      <c r="C375" s="43"/>
      <c r="D375" s="43"/>
      <c r="E375" s="44"/>
      <c r="F375" s="28" t="str">
        <f aca="false">IF($B375="","",IF(COUNTIF($B$2:$B375,$B375)=1,"新規","リピート"))</f>
        <v/>
      </c>
    </row>
    <row r="376" customFormat="false" ht="15" hidden="false" customHeight="false" outlineLevel="0" collapsed="false">
      <c r="A376" s="43"/>
      <c r="B376" s="43"/>
      <c r="C376" s="43"/>
      <c r="D376" s="43"/>
      <c r="E376" s="44"/>
      <c r="F376" s="28" t="str">
        <f aca="false">IF($B376="","",IF(COUNTIF($B$2:$B376,$B376)=1,"新規","リピート"))</f>
        <v/>
      </c>
    </row>
    <row r="377" customFormat="false" ht="15" hidden="false" customHeight="false" outlineLevel="0" collapsed="false">
      <c r="A377" s="43"/>
      <c r="B377" s="43"/>
      <c r="C377" s="43"/>
      <c r="D377" s="43"/>
      <c r="E377" s="44"/>
      <c r="F377" s="28" t="str">
        <f aca="false">IF($B377="","",IF(COUNTIF($B$2:$B377,$B377)=1,"新規","リピート"))</f>
        <v/>
      </c>
    </row>
    <row r="378" customFormat="false" ht="15" hidden="false" customHeight="false" outlineLevel="0" collapsed="false">
      <c r="A378" s="43"/>
      <c r="B378" s="43"/>
      <c r="C378" s="43"/>
      <c r="D378" s="43"/>
      <c r="E378" s="44"/>
      <c r="F378" s="28" t="str">
        <f aca="false">IF($B378="","",IF(COUNTIF($B$2:$B378,$B378)=1,"新規","リピート"))</f>
        <v/>
      </c>
    </row>
    <row r="379" customFormat="false" ht="15" hidden="false" customHeight="false" outlineLevel="0" collapsed="false">
      <c r="A379" s="43"/>
      <c r="B379" s="43"/>
      <c r="C379" s="43"/>
      <c r="D379" s="43"/>
      <c r="E379" s="44"/>
      <c r="F379" s="28" t="str">
        <f aca="false">IF($B379="","",IF(COUNTIF($B$2:$B379,$B379)=1,"新規","リピート"))</f>
        <v/>
      </c>
    </row>
    <row r="380" customFormat="false" ht="15" hidden="false" customHeight="false" outlineLevel="0" collapsed="false">
      <c r="A380" s="43"/>
      <c r="B380" s="43"/>
      <c r="C380" s="43"/>
      <c r="D380" s="43"/>
      <c r="E380" s="44"/>
      <c r="F380" s="28" t="str">
        <f aca="false">IF($B380="","",IF(COUNTIF($B$2:$B380,$B380)=1,"新規","リピート"))</f>
        <v/>
      </c>
    </row>
    <row r="381" customFormat="false" ht="15" hidden="false" customHeight="false" outlineLevel="0" collapsed="false">
      <c r="A381" s="43"/>
      <c r="B381" s="43"/>
      <c r="C381" s="43"/>
      <c r="D381" s="43"/>
      <c r="E381" s="44"/>
      <c r="F381" s="28" t="str">
        <f aca="false">IF($B381="","",IF(COUNTIF($B$2:$B381,$B381)=1,"新規","リピート"))</f>
        <v/>
      </c>
    </row>
    <row r="382" customFormat="false" ht="15" hidden="false" customHeight="false" outlineLevel="0" collapsed="false">
      <c r="A382" s="43"/>
      <c r="B382" s="43"/>
      <c r="C382" s="43"/>
      <c r="D382" s="43"/>
      <c r="E382" s="44"/>
      <c r="F382" s="28" t="str">
        <f aca="false">IF($B382="","",IF(COUNTIF($B$2:$B382,$B382)=1,"新規","リピート"))</f>
        <v/>
      </c>
    </row>
    <row r="383" customFormat="false" ht="15" hidden="false" customHeight="false" outlineLevel="0" collapsed="false">
      <c r="A383" s="43"/>
      <c r="B383" s="43"/>
      <c r="C383" s="43"/>
      <c r="D383" s="43"/>
      <c r="E383" s="44"/>
      <c r="F383" s="28" t="str">
        <f aca="false">IF($B383="","",IF(COUNTIF($B$2:$B383,$B383)=1,"新規","リピート"))</f>
        <v/>
      </c>
    </row>
    <row r="384" customFormat="false" ht="15" hidden="false" customHeight="false" outlineLevel="0" collapsed="false">
      <c r="A384" s="43"/>
      <c r="B384" s="43"/>
      <c r="C384" s="43"/>
      <c r="D384" s="43"/>
      <c r="E384" s="44"/>
      <c r="F384" s="28" t="str">
        <f aca="false">IF($B384="","",IF(COUNTIF($B$2:$B384,$B384)=1,"新規","リピート"))</f>
        <v/>
      </c>
    </row>
    <row r="385" customFormat="false" ht="15" hidden="false" customHeight="false" outlineLevel="0" collapsed="false">
      <c r="A385" s="43"/>
      <c r="B385" s="43"/>
      <c r="C385" s="43"/>
      <c r="D385" s="43"/>
      <c r="E385" s="44"/>
      <c r="F385" s="28" t="str">
        <f aca="false">IF($B385="","",IF(COUNTIF($B$2:$B385,$B385)=1,"新規","リピート"))</f>
        <v/>
      </c>
    </row>
    <row r="386" customFormat="false" ht="15" hidden="false" customHeight="false" outlineLevel="0" collapsed="false">
      <c r="A386" s="43"/>
      <c r="B386" s="43"/>
      <c r="C386" s="43"/>
      <c r="D386" s="43"/>
      <c r="E386" s="44"/>
      <c r="F386" s="28" t="str">
        <f aca="false">IF($B386="","",IF(COUNTIF($B$2:$B386,$B386)=1,"新規","リピート"))</f>
        <v/>
      </c>
    </row>
    <row r="387" customFormat="false" ht="15" hidden="false" customHeight="false" outlineLevel="0" collapsed="false">
      <c r="A387" s="43"/>
      <c r="B387" s="43"/>
      <c r="C387" s="43"/>
      <c r="D387" s="43"/>
      <c r="E387" s="44"/>
      <c r="F387" s="28" t="str">
        <f aca="false">IF($B387="","",IF(COUNTIF($B$2:$B387,$B387)=1,"新規","リピート"))</f>
        <v/>
      </c>
    </row>
    <row r="388" customFormat="false" ht="15" hidden="false" customHeight="false" outlineLevel="0" collapsed="false">
      <c r="A388" s="43"/>
      <c r="B388" s="43"/>
      <c r="C388" s="43"/>
      <c r="D388" s="43"/>
      <c r="E388" s="44"/>
      <c r="F388" s="28" t="str">
        <f aca="false">IF($B388="","",IF(COUNTIF($B$2:$B388,$B388)=1,"新規","リピート"))</f>
        <v/>
      </c>
    </row>
    <row r="389" customFormat="false" ht="15" hidden="false" customHeight="false" outlineLevel="0" collapsed="false">
      <c r="A389" s="43"/>
      <c r="B389" s="43"/>
      <c r="C389" s="43"/>
      <c r="D389" s="43"/>
      <c r="E389" s="44"/>
      <c r="F389" s="28" t="str">
        <f aca="false">IF($B389="","",IF(COUNTIF($B$2:$B389,$B389)=1,"新規","リピート"))</f>
        <v/>
      </c>
    </row>
    <row r="390" customFormat="false" ht="15" hidden="false" customHeight="false" outlineLevel="0" collapsed="false">
      <c r="A390" s="43"/>
      <c r="B390" s="43"/>
      <c r="C390" s="43"/>
      <c r="D390" s="43"/>
      <c r="E390" s="44"/>
      <c r="F390" s="28" t="str">
        <f aca="false">IF($B390="","",IF(COUNTIF($B$2:$B390,$B390)=1,"新規","リピート"))</f>
        <v/>
      </c>
    </row>
    <row r="391" customFormat="false" ht="15" hidden="false" customHeight="false" outlineLevel="0" collapsed="false">
      <c r="A391" s="43"/>
      <c r="B391" s="43"/>
      <c r="C391" s="43"/>
      <c r="D391" s="43"/>
      <c r="E391" s="44"/>
      <c r="F391" s="28" t="str">
        <f aca="false">IF($B391="","",IF(COUNTIF($B$2:$B391,$B391)=1,"新規","リピート"))</f>
        <v/>
      </c>
    </row>
    <row r="392" customFormat="false" ht="15" hidden="false" customHeight="false" outlineLevel="0" collapsed="false">
      <c r="A392" s="43"/>
      <c r="B392" s="43"/>
      <c r="C392" s="43"/>
      <c r="D392" s="43"/>
      <c r="E392" s="44"/>
      <c r="F392" s="28" t="str">
        <f aca="false">IF($B392="","",IF(COUNTIF($B$2:$B392,$B392)=1,"新規","リピート"))</f>
        <v/>
      </c>
    </row>
    <row r="393" customFormat="false" ht="15" hidden="false" customHeight="false" outlineLevel="0" collapsed="false">
      <c r="A393" s="43"/>
      <c r="B393" s="43"/>
      <c r="C393" s="43"/>
      <c r="D393" s="43"/>
      <c r="E393" s="44"/>
      <c r="F393" s="28" t="str">
        <f aca="false">IF($B393="","",IF(COUNTIF($B$2:$B393,$B393)=1,"新規","リピート"))</f>
        <v/>
      </c>
    </row>
    <row r="394" customFormat="false" ht="15" hidden="false" customHeight="false" outlineLevel="0" collapsed="false">
      <c r="A394" s="43"/>
      <c r="B394" s="43"/>
      <c r="C394" s="43"/>
      <c r="D394" s="43"/>
      <c r="E394" s="44"/>
      <c r="F394" s="28" t="str">
        <f aca="false">IF($B394="","",IF(COUNTIF($B$2:$B394,$B394)=1,"新規","リピート"))</f>
        <v/>
      </c>
    </row>
    <row r="395" customFormat="false" ht="15" hidden="false" customHeight="false" outlineLevel="0" collapsed="false">
      <c r="A395" s="43"/>
      <c r="B395" s="43"/>
      <c r="C395" s="43"/>
      <c r="D395" s="43"/>
      <c r="E395" s="44"/>
      <c r="F395" s="28" t="str">
        <f aca="false">IF($B395="","",IF(COUNTIF($B$2:$B395,$B395)=1,"新規","リピート"))</f>
        <v/>
      </c>
    </row>
    <row r="396" customFormat="false" ht="15" hidden="false" customHeight="false" outlineLevel="0" collapsed="false">
      <c r="A396" s="43"/>
      <c r="B396" s="43"/>
      <c r="C396" s="43"/>
      <c r="D396" s="43"/>
      <c r="E396" s="44"/>
      <c r="F396" s="28" t="str">
        <f aca="false">IF($B396="","",IF(COUNTIF($B$2:$B396,$B396)=1,"新規","リピート"))</f>
        <v/>
      </c>
    </row>
    <row r="397" customFormat="false" ht="15" hidden="false" customHeight="false" outlineLevel="0" collapsed="false">
      <c r="A397" s="43"/>
      <c r="B397" s="43"/>
      <c r="C397" s="43"/>
      <c r="D397" s="43"/>
      <c r="E397" s="44"/>
      <c r="F397" s="28" t="str">
        <f aca="false">IF($B397="","",IF(COUNTIF($B$2:$B397,$B397)=1,"新規","リピート"))</f>
        <v/>
      </c>
    </row>
    <row r="398" customFormat="false" ht="15" hidden="false" customHeight="false" outlineLevel="0" collapsed="false">
      <c r="A398" s="43"/>
      <c r="B398" s="43"/>
      <c r="C398" s="43"/>
      <c r="D398" s="43"/>
      <c r="E398" s="44"/>
      <c r="F398" s="28" t="str">
        <f aca="false">IF($B398="","",IF(COUNTIF($B$2:$B398,$B398)=1,"新規","リピート"))</f>
        <v/>
      </c>
    </row>
    <row r="399" customFormat="false" ht="15" hidden="false" customHeight="false" outlineLevel="0" collapsed="false">
      <c r="A399" s="43"/>
      <c r="B399" s="43"/>
      <c r="C399" s="43"/>
      <c r="D399" s="43"/>
      <c r="E399" s="44"/>
      <c r="F399" s="28" t="str">
        <f aca="false">IF($B399="","",IF(COUNTIF($B$2:$B399,$B399)=1,"新規","リピート"))</f>
        <v/>
      </c>
    </row>
    <row r="400" customFormat="false" ht="15" hidden="false" customHeight="false" outlineLevel="0" collapsed="false">
      <c r="A400" s="43"/>
      <c r="B400" s="43"/>
      <c r="C400" s="43"/>
      <c r="D400" s="43"/>
      <c r="E400" s="44"/>
      <c r="F400" s="28" t="str">
        <f aca="false">IF($B400="","",IF(COUNTIF($B$2:$B400,$B400)=1,"新規","リピート"))</f>
        <v/>
      </c>
    </row>
    <row r="401" customFormat="false" ht="15" hidden="false" customHeight="false" outlineLevel="0" collapsed="false">
      <c r="A401" s="43"/>
      <c r="B401" s="43"/>
      <c r="C401" s="43"/>
      <c r="D401" s="43"/>
      <c r="E401" s="44"/>
      <c r="F401" s="28" t="str">
        <f aca="false">IF($B401="","",IF(COUNTIF($B$2:$B401,$B401)=1,"新規","リピート"))</f>
        <v/>
      </c>
    </row>
    <row r="402" customFormat="false" ht="15" hidden="false" customHeight="false" outlineLevel="0" collapsed="false">
      <c r="A402" s="43"/>
      <c r="B402" s="43"/>
      <c r="C402" s="43"/>
      <c r="D402" s="43"/>
      <c r="E402" s="44"/>
      <c r="F402" s="28" t="str">
        <f aca="false">IF($B402="","",IF(COUNTIF($B$2:$B402,$B402)=1,"新規","リピート"))</f>
        <v/>
      </c>
    </row>
    <row r="403" customFormat="false" ht="15" hidden="false" customHeight="false" outlineLevel="0" collapsed="false">
      <c r="A403" s="43"/>
      <c r="B403" s="43"/>
      <c r="C403" s="43"/>
      <c r="D403" s="43"/>
      <c r="E403" s="44"/>
      <c r="F403" s="28" t="str">
        <f aca="false">IF($B403="","",IF(COUNTIF($B$2:$B403,$B403)=1,"新規","リピート"))</f>
        <v/>
      </c>
    </row>
    <row r="404" customFormat="false" ht="15" hidden="false" customHeight="false" outlineLevel="0" collapsed="false">
      <c r="A404" s="43"/>
      <c r="B404" s="43"/>
      <c r="C404" s="43"/>
      <c r="D404" s="43"/>
      <c r="E404" s="44"/>
      <c r="F404" s="28" t="str">
        <f aca="false">IF($B404="","",IF(COUNTIF($B$2:$B404,$B404)=1,"新規","リピート"))</f>
        <v/>
      </c>
    </row>
    <row r="405" customFormat="false" ht="15" hidden="false" customHeight="false" outlineLevel="0" collapsed="false">
      <c r="A405" s="43"/>
      <c r="B405" s="43"/>
      <c r="C405" s="43"/>
      <c r="D405" s="43"/>
      <c r="E405" s="44"/>
      <c r="F405" s="28" t="str">
        <f aca="false">IF($B405="","",IF(COUNTIF($B$2:$B405,$B405)=1,"新規","リピート"))</f>
        <v/>
      </c>
    </row>
    <row r="406" customFormat="false" ht="15" hidden="false" customHeight="false" outlineLevel="0" collapsed="false">
      <c r="A406" s="43"/>
      <c r="B406" s="43"/>
      <c r="C406" s="43"/>
      <c r="D406" s="43"/>
      <c r="E406" s="44"/>
      <c r="F406" s="28" t="str">
        <f aca="false">IF($B406="","",IF(COUNTIF($B$2:$B406,$B406)=1,"新規","リピート"))</f>
        <v/>
      </c>
    </row>
    <row r="407" customFormat="false" ht="15" hidden="false" customHeight="false" outlineLevel="0" collapsed="false">
      <c r="A407" s="43"/>
      <c r="B407" s="43"/>
      <c r="C407" s="43"/>
      <c r="D407" s="43"/>
      <c r="E407" s="44"/>
      <c r="F407" s="28" t="str">
        <f aca="false">IF($B407="","",IF(COUNTIF($B$2:$B407,$B407)=1,"新規","リピート"))</f>
        <v/>
      </c>
    </row>
    <row r="408" customFormat="false" ht="15" hidden="false" customHeight="false" outlineLevel="0" collapsed="false">
      <c r="A408" s="43"/>
      <c r="B408" s="43"/>
      <c r="C408" s="43"/>
      <c r="D408" s="43"/>
      <c r="E408" s="44"/>
      <c r="F408" s="28" t="str">
        <f aca="false">IF($B408="","",IF(COUNTIF($B$2:$B408,$B408)=1,"新規","リピート"))</f>
        <v/>
      </c>
    </row>
    <row r="409" customFormat="false" ht="15" hidden="false" customHeight="false" outlineLevel="0" collapsed="false">
      <c r="A409" s="43"/>
      <c r="B409" s="43"/>
      <c r="C409" s="43"/>
      <c r="D409" s="43"/>
      <c r="E409" s="44"/>
      <c r="F409" s="28" t="str">
        <f aca="false">IF($B409="","",IF(COUNTIF($B$2:$B409,$B409)=1,"新規","リピート"))</f>
        <v/>
      </c>
    </row>
    <row r="410" customFormat="false" ht="15" hidden="false" customHeight="false" outlineLevel="0" collapsed="false">
      <c r="A410" s="43"/>
      <c r="B410" s="43"/>
      <c r="C410" s="43"/>
      <c r="D410" s="43"/>
      <c r="E410" s="44"/>
      <c r="F410" s="28" t="str">
        <f aca="false">IF($B410="","",IF(COUNTIF($B$2:$B410,$B410)=1,"新規","リピート"))</f>
        <v/>
      </c>
    </row>
    <row r="411" customFormat="false" ht="15" hidden="false" customHeight="false" outlineLevel="0" collapsed="false">
      <c r="A411" s="43"/>
      <c r="B411" s="43"/>
      <c r="C411" s="43"/>
      <c r="D411" s="43"/>
      <c r="E411" s="44"/>
      <c r="F411" s="28" t="str">
        <f aca="false">IF($B411="","",IF(COUNTIF($B$2:$B411,$B411)=1,"新規","リピート"))</f>
        <v/>
      </c>
    </row>
    <row r="412" customFormat="false" ht="15" hidden="false" customHeight="false" outlineLevel="0" collapsed="false">
      <c r="A412" s="43"/>
      <c r="B412" s="43"/>
      <c r="C412" s="43"/>
      <c r="D412" s="43"/>
      <c r="E412" s="44"/>
      <c r="F412" s="28" t="str">
        <f aca="false">IF($B412="","",IF(COUNTIF($B$2:$B412,$B412)=1,"新規","リピート"))</f>
        <v/>
      </c>
    </row>
    <row r="413" customFormat="false" ht="15" hidden="false" customHeight="false" outlineLevel="0" collapsed="false">
      <c r="A413" s="43"/>
      <c r="B413" s="43"/>
      <c r="C413" s="43"/>
      <c r="D413" s="43"/>
      <c r="E413" s="44"/>
      <c r="F413" s="28" t="str">
        <f aca="false">IF($B413="","",IF(COUNTIF($B$2:$B413,$B413)=1,"新規","リピート"))</f>
        <v/>
      </c>
    </row>
    <row r="414" customFormat="false" ht="15" hidden="false" customHeight="false" outlineLevel="0" collapsed="false">
      <c r="A414" s="43"/>
      <c r="B414" s="43"/>
      <c r="C414" s="43"/>
      <c r="D414" s="43"/>
      <c r="E414" s="44"/>
      <c r="F414" s="28" t="str">
        <f aca="false">IF($B414="","",IF(COUNTIF($B$2:$B414,$B414)=1,"新規","リピート"))</f>
        <v/>
      </c>
    </row>
    <row r="415" customFormat="false" ht="15" hidden="false" customHeight="false" outlineLevel="0" collapsed="false">
      <c r="A415" s="43"/>
      <c r="B415" s="43"/>
      <c r="C415" s="43"/>
      <c r="D415" s="43"/>
      <c r="E415" s="44"/>
      <c r="F415" s="28" t="str">
        <f aca="false">IF($B415="","",IF(COUNTIF($B$2:$B415,$B415)=1,"新規","リピート"))</f>
        <v/>
      </c>
    </row>
    <row r="416" customFormat="false" ht="15" hidden="false" customHeight="false" outlineLevel="0" collapsed="false">
      <c r="A416" s="43"/>
      <c r="B416" s="43"/>
      <c r="C416" s="43"/>
      <c r="D416" s="43"/>
      <c r="E416" s="44"/>
      <c r="F416" s="28" t="str">
        <f aca="false">IF($B416="","",IF(COUNTIF($B$2:$B416,$B416)=1,"新規","リピート"))</f>
        <v/>
      </c>
    </row>
    <row r="417" customFormat="false" ht="15" hidden="false" customHeight="false" outlineLevel="0" collapsed="false">
      <c r="A417" s="43"/>
      <c r="B417" s="43"/>
      <c r="C417" s="43"/>
      <c r="D417" s="43"/>
      <c r="E417" s="44"/>
      <c r="F417" s="28" t="str">
        <f aca="false">IF($B417="","",IF(COUNTIF($B$2:$B417,$B417)=1,"新規","リピート"))</f>
        <v/>
      </c>
    </row>
    <row r="418" customFormat="false" ht="15" hidden="false" customHeight="false" outlineLevel="0" collapsed="false">
      <c r="A418" s="43"/>
      <c r="B418" s="43"/>
      <c r="C418" s="43"/>
      <c r="D418" s="43"/>
      <c r="E418" s="44"/>
      <c r="F418" s="28" t="str">
        <f aca="false">IF($B418="","",IF(COUNTIF($B$2:$B418,$B418)=1,"新規","リピート"))</f>
        <v/>
      </c>
    </row>
    <row r="419" customFormat="false" ht="15" hidden="false" customHeight="false" outlineLevel="0" collapsed="false">
      <c r="A419" s="43"/>
      <c r="B419" s="43"/>
      <c r="C419" s="43"/>
      <c r="D419" s="43"/>
      <c r="E419" s="44"/>
      <c r="F419" s="28" t="str">
        <f aca="false">IF($B419="","",IF(COUNTIF($B$2:$B419,$B419)=1,"新規","リピート"))</f>
        <v/>
      </c>
    </row>
    <row r="420" customFormat="false" ht="15" hidden="false" customHeight="false" outlineLevel="0" collapsed="false">
      <c r="A420" s="43"/>
      <c r="B420" s="43"/>
      <c r="C420" s="43"/>
      <c r="D420" s="43"/>
      <c r="E420" s="44"/>
      <c r="F420" s="28" t="str">
        <f aca="false">IF($B420="","",IF(COUNTIF($B$2:$B420,$B420)=1,"新規","リピート"))</f>
        <v/>
      </c>
    </row>
    <row r="421" customFormat="false" ht="15" hidden="false" customHeight="false" outlineLevel="0" collapsed="false">
      <c r="A421" s="43"/>
      <c r="B421" s="43"/>
      <c r="C421" s="43"/>
      <c r="D421" s="43"/>
      <c r="E421" s="44"/>
      <c r="F421" s="28" t="str">
        <f aca="false">IF($B421="","",IF(COUNTIF($B$2:$B421,$B421)=1,"新規","リピート"))</f>
        <v/>
      </c>
    </row>
    <row r="422" customFormat="false" ht="15" hidden="false" customHeight="false" outlineLevel="0" collapsed="false">
      <c r="A422" s="43"/>
      <c r="B422" s="43"/>
      <c r="C422" s="43"/>
      <c r="D422" s="43"/>
      <c r="E422" s="44"/>
      <c r="F422" s="28" t="str">
        <f aca="false">IF($B422="","",IF(COUNTIF($B$2:$B422,$B422)=1,"新規","リピート"))</f>
        <v/>
      </c>
    </row>
    <row r="423" customFormat="false" ht="15" hidden="false" customHeight="false" outlineLevel="0" collapsed="false">
      <c r="A423" s="43"/>
      <c r="B423" s="43"/>
      <c r="C423" s="43"/>
      <c r="D423" s="43"/>
      <c r="E423" s="44"/>
      <c r="F423" s="28" t="str">
        <f aca="false">IF($B423="","",IF(COUNTIF($B$2:$B423,$B423)=1,"新規","リピート"))</f>
        <v/>
      </c>
    </row>
    <row r="424" customFormat="false" ht="15" hidden="false" customHeight="false" outlineLevel="0" collapsed="false">
      <c r="A424" s="43"/>
      <c r="B424" s="43"/>
      <c r="C424" s="43"/>
      <c r="D424" s="43"/>
      <c r="E424" s="44"/>
      <c r="F424" s="28" t="str">
        <f aca="false">IF($B424="","",IF(COUNTIF($B$2:$B424,$B424)=1,"新規","リピート"))</f>
        <v/>
      </c>
    </row>
    <row r="425" customFormat="false" ht="15" hidden="false" customHeight="false" outlineLevel="0" collapsed="false">
      <c r="A425" s="43"/>
      <c r="B425" s="43"/>
      <c r="C425" s="43"/>
      <c r="D425" s="43"/>
      <c r="E425" s="44"/>
      <c r="F425" s="28" t="str">
        <f aca="false">IF($B425="","",IF(COUNTIF($B$2:$B425,$B425)=1,"新規","リピート"))</f>
        <v/>
      </c>
    </row>
    <row r="426" customFormat="false" ht="15" hidden="false" customHeight="false" outlineLevel="0" collapsed="false">
      <c r="A426" s="43"/>
      <c r="B426" s="43"/>
      <c r="C426" s="43"/>
      <c r="D426" s="43"/>
      <c r="E426" s="44"/>
      <c r="F426" s="28" t="str">
        <f aca="false">IF($B426="","",IF(COUNTIF($B$2:$B426,$B426)=1,"新規","リピート"))</f>
        <v/>
      </c>
    </row>
    <row r="427" customFormat="false" ht="15" hidden="false" customHeight="false" outlineLevel="0" collapsed="false">
      <c r="A427" s="43"/>
      <c r="B427" s="43"/>
      <c r="C427" s="43"/>
      <c r="D427" s="43"/>
      <c r="E427" s="44"/>
      <c r="F427" s="28" t="str">
        <f aca="false">IF($B427="","",IF(COUNTIF($B$2:$B427,$B427)=1,"新規","リピート"))</f>
        <v/>
      </c>
    </row>
    <row r="428" customFormat="false" ht="15" hidden="false" customHeight="false" outlineLevel="0" collapsed="false">
      <c r="A428" s="43"/>
      <c r="B428" s="43"/>
      <c r="C428" s="43"/>
      <c r="D428" s="43"/>
      <c r="E428" s="44"/>
      <c r="F428" s="28" t="str">
        <f aca="false">IF($B428="","",IF(COUNTIF($B$2:$B428,$B428)=1,"新規","リピート"))</f>
        <v/>
      </c>
    </row>
    <row r="429" customFormat="false" ht="15" hidden="false" customHeight="false" outlineLevel="0" collapsed="false">
      <c r="A429" s="43"/>
      <c r="B429" s="43"/>
      <c r="C429" s="43"/>
      <c r="D429" s="43"/>
      <c r="E429" s="44"/>
      <c r="F429" s="28" t="str">
        <f aca="false">IF($B429="","",IF(COUNTIF($B$2:$B429,$B429)=1,"新規","リピート"))</f>
        <v/>
      </c>
    </row>
    <row r="430" customFormat="false" ht="15" hidden="false" customHeight="false" outlineLevel="0" collapsed="false">
      <c r="A430" s="43"/>
      <c r="B430" s="43"/>
      <c r="C430" s="43"/>
      <c r="D430" s="43"/>
      <c r="E430" s="44"/>
      <c r="F430" s="28" t="str">
        <f aca="false">IF($B430="","",IF(COUNTIF($B$2:$B430,$B430)=1,"新規","リピート"))</f>
        <v/>
      </c>
    </row>
    <row r="431" customFormat="false" ht="15" hidden="false" customHeight="false" outlineLevel="0" collapsed="false">
      <c r="A431" s="43"/>
      <c r="B431" s="43"/>
      <c r="C431" s="43"/>
      <c r="D431" s="43"/>
      <c r="E431" s="44"/>
      <c r="F431" s="28" t="str">
        <f aca="false">IF($B431="","",IF(COUNTIF($B$2:$B431,$B431)=1,"新規","リピート"))</f>
        <v/>
      </c>
    </row>
    <row r="432" customFormat="false" ht="15" hidden="false" customHeight="false" outlineLevel="0" collapsed="false">
      <c r="A432" s="43"/>
      <c r="B432" s="43"/>
      <c r="C432" s="43"/>
      <c r="D432" s="43"/>
      <c r="E432" s="44"/>
      <c r="F432" s="28" t="str">
        <f aca="false">IF($B432="","",IF(COUNTIF($B$2:$B432,$B432)=1,"新規","リピート"))</f>
        <v/>
      </c>
    </row>
    <row r="433" customFormat="false" ht="15" hidden="false" customHeight="false" outlineLevel="0" collapsed="false">
      <c r="A433" s="43"/>
      <c r="B433" s="43"/>
      <c r="C433" s="43"/>
      <c r="D433" s="43"/>
      <c r="E433" s="44"/>
      <c r="F433" s="28" t="str">
        <f aca="false">IF($B433="","",IF(COUNTIF($B$2:$B433,$B433)=1,"新規","リピート"))</f>
        <v/>
      </c>
    </row>
    <row r="434" customFormat="false" ht="15" hidden="false" customHeight="false" outlineLevel="0" collapsed="false">
      <c r="A434" s="43"/>
      <c r="B434" s="43"/>
      <c r="C434" s="43"/>
      <c r="D434" s="43"/>
      <c r="E434" s="44"/>
      <c r="F434" s="28" t="str">
        <f aca="false">IF($B434="","",IF(COUNTIF($B$2:$B434,$B434)=1,"新規","リピート"))</f>
        <v/>
      </c>
    </row>
    <row r="435" customFormat="false" ht="15" hidden="false" customHeight="false" outlineLevel="0" collapsed="false">
      <c r="A435" s="43"/>
      <c r="B435" s="43"/>
      <c r="C435" s="43"/>
      <c r="D435" s="43"/>
      <c r="E435" s="44"/>
      <c r="F435" s="28" t="str">
        <f aca="false">IF($B435="","",IF(COUNTIF($B$2:$B435,$B435)=1,"新規","リピート"))</f>
        <v/>
      </c>
    </row>
    <row r="436" customFormat="false" ht="15" hidden="false" customHeight="false" outlineLevel="0" collapsed="false">
      <c r="A436" s="43"/>
      <c r="B436" s="43"/>
      <c r="C436" s="43"/>
      <c r="D436" s="43"/>
      <c r="E436" s="44"/>
      <c r="F436" s="28" t="str">
        <f aca="false">IF($B436="","",IF(COUNTIF($B$2:$B436,$B436)=1,"新規","リピート"))</f>
        <v/>
      </c>
    </row>
    <row r="437" customFormat="false" ht="15" hidden="false" customHeight="false" outlineLevel="0" collapsed="false">
      <c r="A437" s="43"/>
      <c r="B437" s="43"/>
      <c r="C437" s="43"/>
      <c r="D437" s="43"/>
      <c r="E437" s="44"/>
      <c r="F437" s="28" t="str">
        <f aca="false">IF($B437="","",IF(COUNTIF($B$2:$B437,$B437)=1,"新規","リピート"))</f>
        <v/>
      </c>
    </row>
    <row r="438" customFormat="false" ht="15" hidden="false" customHeight="false" outlineLevel="0" collapsed="false">
      <c r="A438" s="43"/>
      <c r="B438" s="43"/>
      <c r="C438" s="43"/>
      <c r="D438" s="43"/>
      <c r="E438" s="44"/>
      <c r="F438" s="28" t="str">
        <f aca="false">IF($B438="","",IF(COUNTIF($B$2:$B438,$B438)=1,"新規","リピート"))</f>
        <v/>
      </c>
    </row>
    <row r="439" customFormat="false" ht="15" hidden="false" customHeight="false" outlineLevel="0" collapsed="false">
      <c r="A439" s="43"/>
      <c r="B439" s="43"/>
      <c r="C439" s="43"/>
      <c r="D439" s="43"/>
      <c r="E439" s="44"/>
      <c r="F439" s="28" t="str">
        <f aca="false">IF($B439="","",IF(COUNTIF($B$2:$B439,$B439)=1,"新規","リピート"))</f>
        <v/>
      </c>
    </row>
    <row r="440" customFormat="false" ht="15" hidden="false" customHeight="false" outlineLevel="0" collapsed="false">
      <c r="A440" s="43"/>
      <c r="B440" s="43"/>
      <c r="C440" s="43"/>
      <c r="D440" s="43"/>
      <c r="E440" s="44"/>
      <c r="F440" s="28" t="str">
        <f aca="false">IF($B440="","",IF(COUNTIF($B$2:$B440,$B440)=1,"新規","リピート"))</f>
        <v/>
      </c>
    </row>
    <row r="441" customFormat="false" ht="15" hidden="false" customHeight="false" outlineLevel="0" collapsed="false">
      <c r="A441" s="43"/>
      <c r="B441" s="43"/>
      <c r="C441" s="43"/>
      <c r="D441" s="43"/>
      <c r="E441" s="44"/>
      <c r="F441" s="28" t="str">
        <f aca="false">IF($B441="","",IF(COUNTIF($B$2:$B441,$B441)=1,"新規","リピート"))</f>
        <v/>
      </c>
    </row>
    <row r="442" customFormat="false" ht="15" hidden="false" customHeight="false" outlineLevel="0" collapsed="false">
      <c r="A442" s="43"/>
      <c r="B442" s="43"/>
      <c r="C442" s="43"/>
      <c r="D442" s="43"/>
      <c r="E442" s="44"/>
      <c r="F442" s="28" t="str">
        <f aca="false">IF($B442="","",IF(COUNTIF($B$2:$B442,$B442)=1,"新規","リピート"))</f>
        <v/>
      </c>
    </row>
    <row r="443" customFormat="false" ht="15" hidden="false" customHeight="false" outlineLevel="0" collapsed="false">
      <c r="A443" s="43"/>
      <c r="B443" s="43"/>
      <c r="C443" s="43"/>
      <c r="D443" s="43"/>
      <c r="E443" s="44"/>
      <c r="F443" s="28" t="str">
        <f aca="false">IF($B443="","",IF(COUNTIF($B$2:$B443,$B443)=1,"新規","リピート"))</f>
        <v/>
      </c>
    </row>
    <row r="444" customFormat="false" ht="15" hidden="false" customHeight="false" outlineLevel="0" collapsed="false">
      <c r="A444" s="43"/>
      <c r="B444" s="43"/>
      <c r="C444" s="43"/>
      <c r="D444" s="43"/>
      <c r="E444" s="44"/>
      <c r="F444" s="28" t="str">
        <f aca="false">IF($B444="","",IF(COUNTIF($B$2:$B444,$B444)=1,"新規","リピート"))</f>
        <v/>
      </c>
    </row>
    <row r="445" customFormat="false" ht="15" hidden="false" customHeight="false" outlineLevel="0" collapsed="false">
      <c r="A445" s="43"/>
      <c r="B445" s="43"/>
      <c r="C445" s="43"/>
      <c r="D445" s="43"/>
      <c r="E445" s="44"/>
      <c r="F445" s="28" t="str">
        <f aca="false">IF($B445="","",IF(COUNTIF($B$2:$B445,$B445)=1,"新規","リピート"))</f>
        <v/>
      </c>
    </row>
    <row r="446" customFormat="false" ht="15" hidden="false" customHeight="false" outlineLevel="0" collapsed="false">
      <c r="A446" s="43"/>
      <c r="B446" s="43"/>
      <c r="C446" s="43"/>
      <c r="D446" s="43"/>
      <c r="E446" s="44"/>
      <c r="F446" s="28" t="str">
        <f aca="false">IF($B446="","",IF(COUNTIF($B$2:$B446,$B446)=1,"新規","リピート"))</f>
        <v/>
      </c>
    </row>
    <row r="447" customFormat="false" ht="15" hidden="false" customHeight="false" outlineLevel="0" collapsed="false">
      <c r="A447" s="43"/>
      <c r="B447" s="43"/>
      <c r="C447" s="43"/>
      <c r="D447" s="43"/>
      <c r="E447" s="44"/>
      <c r="F447" s="28" t="str">
        <f aca="false">IF($B447="","",IF(COUNTIF($B$2:$B447,$B447)=1,"新規","リピート"))</f>
        <v/>
      </c>
    </row>
    <row r="448" customFormat="false" ht="15" hidden="false" customHeight="false" outlineLevel="0" collapsed="false">
      <c r="A448" s="43"/>
      <c r="B448" s="43"/>
      <c r="C448" s="43"/>
      <c r="D448" s="43"/>
      <c r="E448" s="44"/>
      <c r="F448" s="28" t="str">
        <f aca="false">IF($B448="","",IF(COUNTIF($B$2:$B448,$B448)=1,"新規","リピート"))</f>
        <v/>
      </c>
    </row>
    <row r="449" customFormat="false" ht="15" hidden="false" customHeight="false" outlineLevel="0" collapsed="false">
      <c r="A449" s="43"/>
      <c r="B449" s="43"/>
      <c r="C449" s="43"/>
      <c r="D449" s="43"/>
      <c r="E449" s="44"/>
      <c r="F449" s="28" t="str">
        <f aca="false">IF($B449="","",IF(COUNTIF($B$2:$B449,$B449)=1,"新規","リピート"))</f>
        <v/>
      </c>
    </row>
    <row r="450" customFormat="false" ht="15" hidden="false" customHeight="false" outlineLevel="0" collapsed="false">
      <c r="A450" s="43"/>
      <c r="B450" s="43"/>
      <c r="C450" s="43"/>
      <c r="D450" s="43"/>
      <c r="E450" s="44"/>
      <c r="F450" s="28" t="str">
        <f aca="false">IF($B450="","",IF(COUNTIF($B$2:$B450,$B450)=1,"新規","リピート"))</f>
        <v/>
      </c>
    </row>
    <row r="451" customFormat="false" ht="15" hidden="false" customHeight="false" outlineLevel="0" collapsed="false">
      <c r="A451" s="43"/>
      <c r="B451" s="43"/>
      <c r="C451" s="43"/>
      <c r="D451" s="43"/>
      <c r="E451" s="44"/>
      <c r="F451" s="28" t="str">
        <f aca="false">IF($B451="","",IF(COUNTIF($B$2:$B451,$B451)=1,"新規","リピート"))</f>
        <v/>
      </c>
    </row>
    <row r="452" customFormat="false" ht="15" hidden="false" customHeight="false" outlineLevel="0" collapsed="false">
      <c r="A452" s="43"/>
      <c r="B452" s="43"/>
      <c r="C452" s="43"/>
      <c r="D452" s="43"/>
      <c r="E452" s="44"/>
      <c r="F452" s="28" t="str">
        <f aca="false">IF($B452="","",IF(COUNTIF($B$2:$B452,$B452)=1,"新規","リピート"))</f>
        <v/>
      </c>
    </row>
    <row r="453" customFormat="false" ht="15" hidden="false" customHeight="false" outlineLevel="0" collapsed="false">
      <c r="A453" s="43"/>
      <c r="B453" s="43"/>
      <c r="C453" s="43"/>
      <c r="D453" s="43"/>
      <c r="E453" s="44"/>
      <c r="F453" s="28" t="str">
        <f aca="false">IF($B453="","",IF(COUNTIF($B$2:$B453,$B453)=1,"新規","リピート"))</f>
        <v/>
      </c>
    </row>
    <row r="454" customFormat="false" ht="15" hidden="false" customHeight="false" outlineLevel="0" collapsed="false">
      <c r="A454" s="43"/>
      <c r="B454" s="43"/>
      <c r="C454" s="43"/>
      <c r="D454" s="43"/>
      <c r="E454" s="44"/>
      <c r="F454" s="28" t="str">
        <f aca="false">IF($B454="","",IF(COUNTIF($B$2:$B454,$B454)=1,"新規","リピート"))</f>
        <v/>
      </c>
    </row>
    <row r="455" customFormat="false" ht="15" hidden="false" customHeight="false" outlineLevel="0" collapsed="false">
      <c r="A455" s="43"/>
      <c r="B455" s="43"/>
      <c r="C455" s="43"/>
      <c r="D455" s="43"/>
      <c r="E455" s="44"/>
      <c r="F455" s="28" t="str">
        <f aca="false">IF($B455="","",IF(COUNTIF($B$2:$B455,$B455)=1,"新規","リピート"))</f>
        <v/>
      </c>
    </row>
    <row r="456" customFormat="false" ht="15" hidden="false" customHeight="false" outlineLevel="0" collapsed="false">
      <c r="A456" s="43"/>
      <c r="B456" s="43"/>
      <c r="C456" s="43"/>
      <c r="D456" s="43"/>
      <c r="E456" s="44"/>
      <c r="F456" s="28" t="str">
        <f aca="false">IF($B456="","",IF(COUNTIF($B$2:$B456,$B456)=1,"新規","リピート"))</f>
        <v/>
      </c>
    </row>
    <row r="457" customFormat="false" ht="15" hidden="false" customHeight="false" outlineLevel="0" collapsed="false">
      <c r="A457" s="43"/>
      <c r="B457" s="43"/>
      <c r="C457" s="43"/>
      <c r="D457" s="43"/>
      <c r="E457" s="44"/>
      <c r="F457" s="28" t="str">
        <f aca="false">IF($B457="","",IF(COUNTIF($B$2:$B457,$B457)=1,"新規","リピート"))</f>
        <v/>
      </c>
    </row>
    <row r="458" customFormat="false" ht="15" hidden="false" customHeight="false" outlineLevel="0" collapsed="false">
      <c r="A458" s="43"/>
      <c r="B458" s="43"/>
      <c r="C458" s="43"/>
      <c r="D458" s="43"/>
      <c r="E458" s="44"/>
      <c r="F458" s="28" t="str">
        <f aca="false">IF($B458="","",IF(COUNTIF($B$2:$B458,$B458)=1,"新規","リピート"))</f>
        <v/>
      </c>
    </row>
    <row r="459" customFormat="false" ht="15" hidden="false" customHeight="false" outlineLevel="0" collapsed="false">
      <c r="A459" s="43"/>
      <c r="B459" s="43"/>
      <c r="C459" s="43"/>
      <c r="D459" s="43"/>
      <c r="E459" s="44"/>
      <c r="F459" s="28" t="str">
        <f aca="false">IF($B459="","",IF(COUNTIF($B$2:$B459,$B459)=1,"新規","リピート"))</f>
        <v/>
      </c>
    </row>
    <row r="460" customFormat="false" ht="15" hidden="false" customHeight="false" outlineLevel="0" collapsed="false">
      <c r="A460" s="43"/>
      <c r="B460" s="43"/>
      <c r="C460" s="43"/>
      <c r="D460" s="43"/>
      <c r="E460" s="44"/>
      <c r="F460" s="28" t="str">
        <f aca="false">IF($B460="","",IF(COUNTIF($B$2:$B460,$B460)=1,"新規","リピート"))</f>
        <v/>
      </c>
    </row>
    <row r="461" customFormat="false" ht="15" hidden="false" customHeight="false" outlineLevel="0" collapsed="false">
      <c r="A461" s="43"/>
      <c r="B461" s="43"/>
      <c r="C461" s="43"/>
      <c r="D461" s="43"/>
      <c r="E461" s="44"/>
      <c r="F461" s="28" t="str">
        <f aca="false">IF($B461="","",IF(COUNTIF($B$2:$B461,$B461)=1,"新規","リピート"))</f>
        <v/>
      </c>
    </row>
    <row r="462" customFormat="false" ht="15" hidden="false" customHeight="false" outlineLevel="0" collapsed="false">
      <c r="A462" s="43"/>
      <c r="B462" s="43"/>
      <c r="C462" s="43"/>
      <c r="D462" s="43"/>
      <c r="E462" s="44"/>
      <c r="F462" s="28" t="str">
        <f aca="false">IF($B462="","",IF(COUNTIF($B$2:$B462,$B462)=1,"新規","リピート"))</f>
        <v/>
      </c>
    </row>
    <row r="463" customFormat="false" ht="15" hidden="false" customHeight="false" outlineLevel="0" collapsed="false">
      <c r="A463" s="43"/>
      <c r="B463" s="43"/>
      <c r="C463" s="43"/>
      <c r="D463" s="43"/>
      <c r="E463" s="44"/>
      <c r="F463" s="28" t="str">
        <f aca="false">IF($B463="","",IF(COUNTIF($B$2:$B463,$B463)=1,"新規","リピート"))</f>
        <v/>
      </c>
    </row>
    <row r="464" customFormat="false" ht="15" hidden="false" customHeight="false" outlineLevel="0" collapsed="false">
      <c r="A464" s="43"/>
      <c r="B464" s="43"/>
      <c r="C464" s="43"/>
      <c r="D464" s="43"/>
      <c r="E464" s="44"/>
      <c r="F464" s="28" t="str">
        <f aca="false">IF($B464="","",IF(COUNTIF($B$2:$B464,$B464)=1,"新規","リピート"))</f>
        <v/>
      </c>
    </row>
    <row r="465" customFormat="false" ht="15" hidden="false" customHeight="false" outlineLevel="0" collapsed="false">
      <c r="A465" s="43"/>
      <c r="B465" s="43"/>
      <c r="C465" s="43"/>
      <c r="D465" s="43"/>
      <c r="E465" s="44"/>
      <c r="F465" s="28" t="str">
        <f aca="false">IF($B465="","",IF(COUNTIF($B$2:$B465,$B465)=1,"新規","リピート"))</f>
        <v/>
      </c>
    </row>
    <row r="466" customFormat="false" ht="15" hidden="false" customHeight="false" outlineLevel="0" collapsed="false">
      <c r="A466" s="43"/>
      <c r="B466" s="43"/>
      <c r="C466" s="43"/>
      <c r="D466" s="43"/>
      <c r="E466" s="44"/>
      <c r="F466" s="28" t="str">
        <f aca="false">IF($B466="","",IF(COUNTIF($B$2:$B466,$B466)=1,"新規","リピート"))</f>
        <v/>
      </c>
    </row>
    <row r="467" customFormat="false" ht="15" hidden="false" customHeight="false" outlineLevel="0" collapsed="false">
      <c r="A467" s="43"/>
      <c r="B467" s="43"/>
      <c r="C467" s="43"/>
      <c r="D467" s="43"/>
      <c r="E467" s="44"/>
      <c r="F467" s="28" t="str">
        <f aca="false">IF($B467="","",IF(COUNTIF($B$2:$B467,$B467)=1,"新規","リピート"))</f>
        <v/>
      </c>
    </row>
    <row r="468" customFormat="false" ht="15" hidden="false" customHeight="false" outlineLevel="0" collapsed="false">
      <c r="A468" s="43"/>
      <c r="B468" s="43"/>
      <c r="C468" s="43"/>
      <c r="D468" s="43"/>
      <c r="E468" s="44"/>
      <c r="F468" s="28" t="str">
        <f aca="false">IF($B468="","",IF(COUNTIF($B$2:$B468,$B468)=1,"新規","リピート"))</f>
        <v/>
      </c>
    </row>
    <row r="469" customFormat="false" ht="15" hidden="false" customHeight="false" outlineLevel="0" collapsed="false">
      <c r="A469" s="43"/>
      <c r="B469" s="43"/>
      <c r="C469" s="43"/>
      <c r="D469" s="43"/>
      <c r="E469" s="44"/>
      <c r="F469" s="28" t="str">
        <f aca="false">IF($B469="","",IF(COUNTIF($B$2:$B469,$B469)=1,"新規","リピート"))</f>
        <v/>
      </c>
    </row>
    <row r="470" customFormat="false" ht="15" hidden="false" customHeight="false" outlineLevel="0" collapsed="false">
      <c r="A470" s="43"/>
      <c r="B470" s="43"/>
      <c r="C470" s="43"/>
      <c r="D470" s="43"/>
      <c r="E470" s="44"/>
      <c r="F470" s="28" t="str">
        <f aca="false">IF($B470="","",IF(COUNTIF($B$2:$B470,$B470)=1,"新規","リピート"))</f>
        <v/>
      </c>
    </row>
    <row r="471" customFormat="false" ht="15" hidden="false" customHeight="false" outlineLevel="0" collapsed="false">
      <c r="A471" s="43"/>
      <c r="B471" s="43"/>
      <c r="C471" s="43"/>
      <c r="D471" s="43"/>
      <c r="E471" s="44"/>
      <c r="F471" s="28" t="str">
        <f aca="false">IF($B471="","",IF(COUNTIF($B$2:$B471,$B471)=1,"新規","リピート"))</f>
        <v/>
      </c>
    </row>
    <row r="472" customFormat="false" ht="15" hidden="false" customHeight="false" outlineLevel="0" collapsed="false">
      <c r="A472" s="43"/>
      <c r="B472" s="43"/>
      <c r="C472" s="43"/>
      <c r="D472" s="43"/>
      <c r="E472" s="44"/>
      <c r="F472" s="28" t="str">
        <f aca="false">IF($B472="","",IF(COUNTIF($B$2:$B472,$B472)=1,"新規","リピート"))</f>
        <v/>
      </c>
    </row>
    <row r="473" customFormat="false" ht="15" hidden="false" customHeight="false" outlineLevel="0" collapsed="false">
      <c r="A473" s="43"/>
      <c r="B473" s="43"/>
      <c r="C473" s="43"/>
      <c r="D473" s="43"/>
      <c r="E473" s="44"/>
      <c r="F473" s="28" t="str">
        <f aca="false">IF($B473="","",IF(COUNTIF($B$2:$B473,$B473)=1,"新規","リピート"))</f>
        <v/>
      </c>
    </row>
    <row r="474" customFormat="false" ht="15" hidden="false" customHeight="false" outlineLevel="0" collapsed="false">
      <c r="A474" s="43"/>
      <c r="B474" s="43"/>
      <c r="C474" s="43"/>
      <c r="D474" s="43"/>
      <c r="E474" s="44"/>
      <c r="F474" s="28" t="str">
        <f aca="false">IF($B474="","",IF(COUNTIF($B$2:$B474,$B474)=1,"新規","リピート"))</f>
        <v/>
      </c>
    </row>
    <row r="475" customFormat="false" ht="15" hidden="false" customHeight="false" outlineLevel="0" collapsed="false">
      <c r="A475" s="43"/>
      <c r="B475" s="43"/>
      <c r="C475" s="43"/>
      <c r="D475" s="43"/>
      <c r="E475" s="44"/>
      <c r="F475" s="28" t="str">
        <f aca="false">IF($B475="","",IF(COUNTIF($B$2:$B475,$B475)=1,"新規","リピート"))</f>
        <v/>
      </c>
    </row>
    <row r="476" customFormat="false" ht="15" hidden="false" customHeight="false" outlineLevel="0" collapsed="false">
      <c r="A476" s="43"/>
      <c r="B476" s="43"/>
      <c r="C476" s="43"/>
      <c r="D476" s="43"/>
      <c r="E476" s="44"/>
      <c r="F476" s="28" t="str">
        <f aca="false">IF($B476="","",IF(COUNTIF($B$2:$B476,$B476)=1,"新規","リピート"))</f>
        <v/>
      </c>
    </row>
    <row r="477" customFormat="false" ht="15" hidden="false" customHeight="false" outlineLevel="0" collapsed="false">
      <c r="A477" s="43"/>
      <c r="B477" s="43"/>
      <c r="C477" s="43"/>
      <c r="D477" s="43"/>
      <c r="E477" s="44"/>
      <c r="F477" s="28" t="str">
        <f aca="false">IF($B477="","",IF(COUNTIF($B$2:$B477,$B477)=1,"新規","リピート"))</f>
        <v/>
      </c>
    </row>
    <row r="478" customFormat="false" ht="15" hidden="false" customHeight="false" outlineLevel="0" collapsed="false">
      <c r="A478" s="43"/>
      <c r="B478" s="43"/>
      <c r="C478" s="43"/>
      <c r="D478" s="43"/>
      <c r="E478" s="44"/>
      <c r="F478" s="28" t="str">
        <f aca="false">IF($B478="","",IF(COUNTIF($B$2:$B478,$B478)=1,"新規","リピート"))</f>
        <v/>
      </c>
    </row>
    <row r="479" customFormat="false" ht="15" hidden="false" customHeight="false" outlineLevel="0" collapsed="false">
      <c r="A479" s="43"/>
      <c r="B479" s="43"/>
      <c r="C479" s="43"/>
      <c r="D479" s="43"/>
      <c r="E479" s="44"/>
      <c r="F479" s="28" t="str">
        <f aca="false">IF($B479="","",IF(COUNTIF($B$2:$B479,$B479)=1,"新規","リピート"))</f>
        <v/>
      </c>
    </row>
    <row r="480" customFormat="false" ht="15" hidden="false" customHeight="false" outlineLevel="0" collapsed="false">
      <c r="A480" s="43"/>
      <c r="B480" s="43"/>
      <c r="C480" s="43"/>
      <c r="D480" s="43"/>
      <c r="E480" s="44"/>
      <c r="F480" s="28" t="str">
        <f aca="false">IF($B480="","",IF(COUNTIF($B$2:$B480,$B480)=1,"新規","リピート"))</f>
        <v/>
      </c>
    </row>
    <row r="481" customFormat="false" ht="15" hidden="false" customHeight="false" outlineLevel="0" collapsed="false">
      <c r="A481" s="43"/>
      <c r="B481" s="43"/>
      <c r="C481" s="43"/>
      <c r="D481" s="43"/>
      <c r="E481" s="44"/>
      <c r="F481" s="28" t="str">
        <f aca="false">IF($B481="","",IF(COUNTIF($B$2:$B481,$B481)=1,"新規","リピート"))</f>
        <v/>
      </c>
    </row>
    <row r="482" customFormat="false" ht="15" hidden="false" customHeight="false" outlineLevel="0" collapsed="false">
      <c r="A482" s="43"/>
      <c r="B482" s="43"/>
      <c r="C482" s="43"/>
      <c r="D482" s="43"/>
      <c r="E482" s="44"/>
      <c r="F482" s="28" t="str">
        <f aca="false">IF($B482="","",IF(COUNTIF($B$2:$B482,$B482)=1,"新規","リピート"))</f>
        <v/>
      </c>
    </row>
    <row r="483" customFormat="false" ht="15" hidden="false" customHeight="false" outlineLevel="0" collapsed="false">
      <c r="A483" s="43"/>
      <c r="B483" s="43"/>
      <c r="C483" s="43"/>
      <c r="D483" s="43"/>
      <c r="E483" s="44"/>
      <c r="F483" s="28" t="str">
        <f aca="false">IF($B483="","",IF(COUNTIF($B$2:$B483,$B483)=1,"新規","リピート"))</f>
        <v/>
      </c>
    </row>
    <row r="484" customFormat="false" ht="15" hidden="false" customHeight="false" outlineLevel="0" collapsed="false">
      <c r="A484" s="43"/>
      <c r="B484" s="43"/>
      <c r="C484" s="43"/>
      <c r="D484" s="43"/>
      <c r="E484" s="44"/>
      <c r="F484" s="28" t="str">
        <f aca="false">IF($B484="","",IF(COUNTIF($B$2:$B484,$B484)=1,"新規","リピート"))</f>
        <v/>
      </c>
    </row>
    <row r="485" customFormat="false" ht="15" hidden="false" customHeight="false" outlineLevel="0" collapsed="false">
      <c r="A485" s="43"/>
      <c r="B485" s="43"/>
      <c r="C485" s="43"/>
      <c r="D485" s="43"/>
      <c r="E485" s="44"/>
      <c r="F485" s="28" t="str">
        <f aca="false">IF($B485="","",IF(COUNTIF($B$2:$B485,$B485)=1,"新規","リピート"))</f>
        <v/>
      </c>
    </row>
    <row r="486" customFormat="false" ht="15" hidden="false" customHeight="false" outlineLevel="0" collapsed="false">
      <c r="A486" s="43"/>
      <c r="B486" s="43"/>
      <c r="C486" s="43"/>
      <c r="D486" s="43"/>
      <c r="E486" s="44"/>
      <c r="F486" s="28" t="str">
        <f aca="false">IF($B486="","",IF(COUNTIF($B$2:$B486,$B486)=1,"新規","リピート"))</f>
        <v/>
      </c>
    </row>
    <row r="487" customFormat="false" ht="15" hidden="false" customHeight="false" outlineLevel="0" collapsed="false">
      <c r="A487" s="43"/>
      <c r="B487" s="43"/>
      <c r="C487" s="43"/>
      <c r="D487" s="43"/>
      <c r="E487" s="44"/>
      <c r="F487" s="28" t="str">
        <f aca="false">IF($B487="","",IF(COUNTIF($B$2:$B487,$B487)=1,"新規","リピート"))</f>
        <v/>
      </c>
    </row>
    <row r="488" customFormat="false" ht="15" hidden="false" customHeight="false" outlineLevel="0" collapsed="false">
      <c r="A488" s="43"/>
      <c r="B488" s="43"/>
      <c r="C488" s="43"/>
      <c r="D488" s="43"/>
      <c r="E488" s="44"/>
      <c r="F488" s="28" t="str">
        <f aca="false">IF($B488="","",IF(COUNTIF($B$2:$B488,$B488)=1,"新規","リピート"))</f>
        <v/>
      </c>
    </row>
    <row r="489" customFormat="false" ht="15" hidden="false" customHeight="false" outlineLevel="0" collapsed="false">
      <c r="A489" s="43"/>
      <c r="B489" s="43"/>
      <c r="C489" s="43"/>
      <c r="D489" s="43"/>
      <c r="E489" s="44"/>
      <c r="F489" s="28" t="str">
        <f aca="false">IF($B489="","",IF(COUNTIF($B$2:$B489,$B489)=1,"新規","リピート"))</f>
        <v/>
      </c>
    </row>
    <row r="490" customFormat="false" ht="15" hidden="false" customHeight="false" outlineLevel="0" collapsed="false">
      <c r="A490" s="43"/>
      <c r="B490" s="43"/>
      <c r="C490" s="43"/>
      <c r="D490" s="43"/>
      <c r="E490" s="44"/>
      <c r="F490" s="28" t="str">
        <f aca="false">IF($B490="","",IF(COUNTIF($B$2:$B490,$B490)=1,"新規","リピート"))</f>
        <v/>
      </c>
    </row>
    <row r="491" customFormat="false" ht="15" hidden="false" customHeight="false" outlineLevel="0" collapsed="false">
      <c r="A491" s="43"/>
      <c r="B491" s="43"/>
      <c r="C491" s="43"/>
      <c r="D491" s="43"/>
      <c r="E491" s="44"/>
      <c r="F491" s="28" t="str">
        <f aca="false">IF($B491="","",IF(COUNTIF($B$2:$B491,$B491)=1,"新規","リピート"))</f>
        <v/>
      </c>
    </row>
    <row r="492" customFormat="false" ht="15" hidden="false" customHeight="false" outlineLevel="0" collapsed="false">
      <c r="A492" s="43"/>
      <c r="B492" s="43"/>
      <c r="C492" s="43"/>
      <c r="D492" s="43"/>
      <c r="E492" s="44"/>
      <c r="F492" s="28" t="str">
        <f aca="false">IF($B492="","",IF(COUNTIF($B$2:$B492,$B492)=1,"新規","リピート"))</f>
        <v/>
      </c>
    </row>
    <row r="493" customFormat="false" ht="15" hidden="false" customHeight="false" outlineLevel="0" collapsed="false">
      <c r="A493" s="43"/>
      <c r="B493" s="43"/>
      <c r="C493" s="43"/>
      <c r="D493" s="43"/>
      <c r="E493" s="44"/>
      <c r="F493" s="28" t="str">
        <f aca="false">IF($B493="","",IF(COUNTIF($B$2:$B493,$B493)=1,"新規","リピート"))</f>
        <v/>
      </c>
    </row>
    <row r="494" customFormat="false" ht="15" hidden="false" customHeight="false" outlineLevel="0" collapsed="false">
      <c r="A494" s="43"/>
      <c r="B494" s="43"/>
      <c r="C494" s="43"/>
      <c r="D494" s="43"/>
      <c r="E494" s="44"/>
      <c r="F494" s="28" t="str">
        <f aca="false">IF($B494="","",IF(COUNTIF($B$2:$B494,$B494)=1,"新規","リピート"))</f>
        <v/>
      </c>
    </row>
    <row r="495" customFormat="false" ht="15" hidden="false" customHeight="false" outlineLevel="0" collapsed="false">
      <c r="A495" s="43"/>
      <c r="B495" s="43"/>
      <c r="C495" s="43"/>
      <c r="D495" s="43"/>
      <c r="E495" s="44"/>
      <c r="F495" s="28" t="str">
        <f aca="false">IF($B495="","",IF(COUNTIF($B$2:$B495,$B495)=1,"新規","リピート"))</f>
        <v/>
      </c>
    </row>
    <row r="496" customFormat="false" ht="15" hidden="false" customHeight="false" outlineLevel="0" collapsed="false">
      <c r="A496" s="43"/>
      <c r="B496" s="43"/>
      <c r="C496" s="43"/>
      <c r="D496" s="43"/>
      <c r="E496" s="44"/>
      <c r="F496" s="28" t="str">
        <f aca="false">IF($B496="","",IF(COUNTIF($B$2:$B496,$B496)=1,"新規","リピート"))</f>
        <v/>
      </c>
    </row>
    <row r="497" customFormat="false" ht="15" hidden="false" customHeight="false" outlineLevel="0" collapsed="false">
      <c r="A497" s="43"/>
      <c r="B497" s="43"/>
      <c r="C497" s="43"/>
      <c r="D497" s="43"/>
      <c r="E497" s="44"/>
      <c r="F497" s="28" t="str">
        <f aca="false">IF($B497="","",IF(COUNTIF($B$2:$B497,$B497)=1,"新規","リピート"))</f>
        <v/>
      </c>
    </row>
    <row r="498" customFormat="false" ht="15" hidden="false" customHeight="false" outlineLevel="0" collapsed="false">
      <c r="A498" s="43"/>
      <c r="B498" s="43"/>
      <c r="C498" s="43"/>
      <c r="D498" s="43"/>
      <c r="E498" s="44"/>
      <c r="F498" s="28" t="str">
        <f aca="false">IF($B498="","",IF(COUNTIF($B$2:$B498,$B498)=1,"新規","リピート"))</f>
        <v/>
      </c>
    </row>
    <row r="499" customFormat="false" ht="15" hidden="false" customHeight="false" outlineLevel="0" collapsed="false">
      <c r="A499" s="43"/>
      <c r="B499" s="43"/>
      <c r="C499" s="43"/>
      <c r="D499" s="43"/>
      <c r="E499" s="44"/>
      <c r="F499" s="28" t="str">
        <f aca="false">IF($B499="","",IF(COUNTIF($B$2:$B499,$B499)=1,"新規","リピート"))</f>
        <v/>
      </c>
    </row>
    <row r="500" customFormat="false" ht="15" hidden="false" customHeight="false" outlineLevel="0" collapsed="false">
      <c r="A500" s="43"/>
      <c r="B500" s="43"/>
      <c r="C500" s="43"/>
      <c r="D500" s="43"/>
      <c r="E500" s="44"/>
      <c r="F500" s="28" t="str">
        <f aca="false">IF($B500="","",IF(COUNTIF($B$2:$B500,$B500)=1,"新規","リピート"))</f>
        <v/>
      </c>
    </row>
    <row r="501" customFormat="false" ht="15" hidden="false" customHeight="false" outlineLevel="0" collapsed="false">
      <c r="A501" s="43"/>
      <c r="B501" s="43"/>
      <c r="C501" s="43"/>
      <c r="D501" s="43"/>
      <c r="E501" s="44"/>
      <c r="F501" s="28" t="str">
        <f aca="false">IF($B501="","",IF(COUNTIF($B$2:$B501,$B501)=1,"新規","リピート"))</f>
        <v/>
      </c>
    </row>
    <row r="502" customFormat="false" ht="15" hidden="false" customHeight="false" outlineLevel="0" collapsed="false">
      <c r="A502" s="43"/>
      <c r="B502" s="43"/>
      <c r="C502" s="43"/>
      <c r="D502" s="43"/>
      <c r="E502" s="44"/>
      <c r="F502" s="28" t="str">
        <f aca="false">IF($B502="","",IF(COUNTIF($B$2:$B502,$B502)=1,"新規","リピート"))</f>
        <v/>
      </c>
    </row>
    <row r="503" customFormat="false" ht="15" hidden="false" customHeight="false" outlineLevel="0" collapsed="false">
      <c r="A503" s="43"/>
      <c r="B503" s="43"/>
      <c r="C503" s="43"/>
      <c r="D503" s="43"/>
      <c r="E503" s="44"/>
      <c r="F503" s="28" t="str">
        <f aca="false">IF($B503="","",IF(COUNTIF($B$2:$B503,$B503)=1,"新規","リピート"))</f>
        <v/>
      </c>
    </row>
    <row r="504" customFormat="false" ht="15" hidden="false" customHeight="false" outlineLevel="0" collapsed="false">
      <c r="A504" s="43"/>
      <c r="B504" s="43"/>
      <c r="C504" s="43"/>
      <c r="D504" s="43"/>
      <c r="E504" s="44"/>
      <c r="F504" s="28" t="str">
        <f aca="false">IF($B504="","",IF(COUNTIF($B$2:$B504,$B504)=1,"新規","リピート"))</f>
        <v/>
      </c>
    </row>
    <row r="505" customFormat="false" ht="15" hidden="false" customHeight="false" outlineLevel="0" collapsed="false">
      <c r="A505" s="43"/>
      <c r="B505" s="43"/>
      <c r="C505" s="43"/>
      <c r="D505" s="43"/>
      <c r="E505" s="44"/>
      <c r="F505" s="28" t="str">
        <f aca="false">IF($B505="","",IF(COUNTIF($B$2:$B505,$B505)=1,"新規","リピート"))</f>
        <v/>
      </c>
    </row>
    <row r="506" customFormat="false" ht="15" hidden="false" customHeight="false" outlineLevel="0" collapsed="false">
      <c r="A506" s="43"/>
      <c r="B506" s="43"/>
      <c r="C506" s="43"/>
      <c r="D506" s="43"/>
      <c r="E506" s="44"/>
      <c r="F506" s="28" t="str">
        <f aca="false">IF($B506="","",IF(COUNTIF($B$2:$B506,$B506)=1,"新規","リピート"))</f>
        <v/>
      </c>
    </row>
    <row r="507" customFormat="false" ht="15" hidden="false" customHeight="false" outlineLevel="0" collapsed="false">
      <c r="A507" s="43"/>
      <c r="B507" s="43"/>
      <c r="C507" s="43"/>
      <c r="D507" s="43"/>
      <c r="E507" s="44"/>
      <c r="F507" s="28" t="str">
        <f aca="false">IF($B507="","",IF(COUNTIF($B$2:$B507,$B507)=1,"新規","リピート"))</f>
        <v/>
      </c>
    </row>
    <row r="508" customFormat="false" ht="15" hidden="false" customHeight="false" outlineLevel="0" collapsed="false">
      <c r="A508" s="43"/>
      <c r="B508" s="43"/>
      <c r="C508" s="43"/>
      <c r="D508" s="43"/>
      <c r="E508" s="44"/>
      <c r="F508" s="28" t="str">
        <f aca="false">IF($B508="","",IF(COUNTIF($B$2:$B508,$B508)=1,"新規","リピート"))</f>
        <v/>
      </c>
    </row>
    <row r="509" customFormat="false" ht="15" hidden="false" customHeight="false" outlineLevel="0" collapsed="false">
      <c r="A509" s="43"/>
      <c r="B509" s="43"/>
      <c r="C509" s="43"/>
      <c r="D509" s="43"/>
      <c r="E509" s="44"/>
      <c r="F509" s="28" t="str">
        <f aca="false">IF($B509="","",IF(COUNTIF($B$2:$B509,$B509)=1,"新規","リピート"))</f>
        <v/>
      </c>
    </row>
    <row r="510" customFormat="false" ht="15" hidden="false" customHeight="false" outlineLevel="0" collapsed="false">
      <c r="A510" s="43"/>
      <c r="B510" s="43"/>
      <c r="C510" s="43"/>
      <c r="D510" s="43"/>
      <c r="E510" s="44"/>
      <c r="F510" s="28" t="str">
        <f aca="false">IF($B510="","",IF(COUNTIF($B$2:$B510,$B510)=1,"新規","リピート"))</f>
        <v/>
      </c>
    </row>
    <row r="511" customFormat="false" ht="15" hidden="false" customHeight="false" outlineLevel="0" collapsed="false">
      <c r="A511" s="43"/>
      <c r="B511" s="43"/>
      <c r="C511" s="43"/>
      <c r="D511" s="43"/>
      <c r="E511" s="44"/>
      <c r="F511" s="28" t="str">
        <f aca="false">IF($B511="","",IF(COUNTIF($B$2:$B511,$B511)=1,"新規","リピート"))</f>
        <v/>
      </c>
    </row>
    <row r="512" customFormat="false" ht="15" hidden="false" customHeight="false" outlineLevel="0" collapsed="false">
      <c r="A512" s="43"/>
      <c r="B512" s="43"/>
      <c r="C512" s="43"/>
      <c r="D512" s="43"/>
      <c r="E512" s="44"/>
      <c r="F512" s="28" t="str">
        <f aca="false">IF($B512="","",IF(COUNTIF($B$2:$B512,$B512)=1,"新規","リピート"))</f>
        <v/>
      </c>
    </row>
    <row r="513" customFormat="false" ht="15" hidden="false" customHeight="false" outlineLevel="0" collapsed="false">
      <c r="A513" s="43"/>
      <c r="B513" s="43"/>
      <c r="C513" s="43"/>
      <c r="D513" s="43"/>
      <c r="E513" s="44"/>
      <c r="F513" s="28" t="str">
        <f aca="false">IF($B513="","",IF(COUNTIF($B$2:$B513,$B513)=1,"新規","リピート"))</f>
        <v/>
      </c>
    </row>
    <row r="514" customFormat="false" ht="15" hidden="false" customHeight="false" outlineLevel="0" collapsed="false">
      <c r="A514" s="43"/>
      <c r="B514" s="43"/>
      <c r="C514" s="43"/>
      <c r="D514" s="43"/>
      <c r="E514" s="44"/>
      <c r="F514" s="28" t="str">
        <f aca="false">IF($B514="","",IF(COUNTIF($B$2:$B514,$B514)=1,"新規","リピート"))</f>
        <v/>
      </c>
    </row>
    <row r="515" customFormat="false" ht="15" hidden="false" customHeight="false" outlineLevel="0" collapsed="false">
      <c r="A515" s="43"/>
      <c r="B515" s="43"/>
      <c r="C515" s="43"/>
      <c r="D515" s="43"/>
      <c r="E515" s="44"/>
      <c r="F515" s="28" t="str">
        <f aca="false">IF($B515="","",IF(COUNTIF($B$2:$B515,$B515)=1,"新規","リピート"))</f>
        <v/>
      </c>
    </row>
    <row r="516" customFormat="false" ht="15" hidden="false" customHeight="false" outlineLevel="0" collapsed="false">
      <c r="A516" s="43"/>
      <c r="B516" s="43"/>
      <c r="C516" s="43"/>
      <c r="D516" s="43"/>
      <c r="E516" s="44"/>
      <c r="F516" s="28" t="str">
        <f aca="false">IF($B516="","",IF(COUNTIF($B$2:$B516,$B516)=1,"新規","リピート"))</f>
        <v/>
      </c>
    </row>
    <row r="517" customFormat="false" ht="15" hidden="false" customHeight="false" outlineLevel="0" collapsed="false">
      <c r="A517" s="43"/>
      <c r="B517" s="43"/>
      <c r="C517" s="43"/>
      <c r="D517" s="43"/>
      <c r="E517" s="44"/>
      <c r="F517" s="28" t="str">
        <f aca="false">IF($B517="","",IF(COUNTIF($B$2:$B517,$B517)=1,"新規","リピート"))</f>
        <v/>
      </c>
    </row>
    <row r="518" customFormat="false" ht="15" hidden="false" customHeight="false" outlineLevel="0" collapsed="false">
      <c r="A518" s="43"/>
      <c r="B518" s="43"/>
      <c r="C518" s="43"/>
      <c r="D518" s="43"/>
      <c r="E518" s="44"/>
      <c r="F518" s="28" t="str">
        <f aca="false">IF($B518="","",IF(COUNTIF($B$2:$B518,$B518)=1,"新規","リピート"))</f>
        <v/>
      </c>
    </row>
    <row r="519" customFormat="false" ht="15" hidden="false" customHeight="false" outlineLevel="0" collapsed="false">
      <c r="A519" s="43"/>
      <c r="B519" s="43"/>
      <c r="C519" s="43"/>
      <c r="D519" s="43"/>
      <c r="E519" s="44"/>
      <c r="F519" s="28" t="str">
        <f aca="false">IF($B519="","",IF(COUNTIF($B$2:$B519,$B519)=1,"新規","リピート"))</f>
        <v/>
      </c>
    </row>
    <row r="520" customFormat="false" ht="15" hidden="false" customHeight="false" outlineLevel="0" collapsed="false">
      <c r="A520" s="43"/>
      <c r="B520" s="43"/>
      <c r="C520" s="43"/>
      <c r="D520" s="43"/>
      <c r="E520" s="44"/>
      <c r="F520" s="28" t="str">
        <f aca="false">IF($B520="","",IF(COUNTIF($B$2:$B520,$B520)=1,"新規","リピート"))</f>
        <v/>
      </c>
    </row>
    <row r="521" customFormat="false" ht="15" hidden="false" customHeight="false" outlineLevel="0" collapsed="false">
      <c r="A521" s="43"/>
      <c r="B521" s="43"/>
      <c r="C521" s="43"/>
      <c r="D521" s="43"/>
      <c r="E521" s="44"/>
      <c r="F521" s="28" t="str">
        <f aca="false">IF($B521="","",IF(COUNTIF($B$2:$B521,$B521)=1,"新規","リピート"))</f>
        <v/>
      </c>
    </row>
    <row r="522" customFormat="false" ht="15" hidden="false" customHeight="false" outlineLevel="0" collapsed="false">
      <c r="A522" s="43"/>
      <c r="B522" s="43"/>
      <c r="C522" s="43"/>
      <c r="D522" s="43"/>
      <c r="E522" s="44"/>
      <c r="F522" s="28" t="str">
        <f aca="false">IF($B522="","",IF(COUNTIF($B$2:$B522,$B522)=1,"新規","リピート"))</f>
        <v/>
      </c>
    </row>
    <row r="523" customFormat="false" ht="15" hidden="false" customHeight="false" outlineLevel="0" collapsed="false">
      <c r="A523" s="43"/>
      <c r="B523" s="43"/>
      <c r="C523" s="43"/>
      <c r="D523" s="43"/>
      <c r="E523" s="44"/>
      <c r="F523" s="28" t="str">
        <f aca="false">IF($B523="","",IF(COUNTIF($B$2:$B523,$B523)=1,"新規","リピート"))</f>
        <v/>
      </c>
    </row>
    <row r="524" customFormat="false" ht="15" hidden="false" customHeight="false" outlineLevel="0" collapsed="false">
      <c r="A524" s="43"/>
      <c r="B524" s="43"/>
      <c r="C524" s="43"/>
      <c r="D524" s="43"/>
      <c r="E524" s="44"/>
      <c r="F524" s="28" t="str">
        <f aca="false">IF($B524="","",IF(COUNTIF($B$2:$B524,$B524)=1,"新規","リピート"))</f>
        <v/>
      </c>
    </row>
    <row r="525" customFormat="false" ht="15" hidden="false" customHeight="false" outlineLevel="0" collapsed="false">
      <c r="A525" s="43"/>
      <c r="B525" s="43"/>
      <c r="C525" s="43"/>
      <c r="D525" s="43"/>
      <c r="E525" s="44"/>
      <c r="F525" s="28" t="str">
        <f aca="false">IF($B525="","",IF(COUNTIF($B$2:$B525,$B525)=1,"新規","リピート"))</f>
        <v/>
      </c>
    </row>
    <row r="526" customFormat="false" ht="15" hidden="false" customHeight="false" outlineLevel="0" collapsed="false">
      <c r="A526" s="43"/>
      <c r="B526" s="43"/>
      <c r="C526" s="43"/>
      <c r="D526" s="43"/>
      <c r="E526" s="44"/>
      <c r="F526" s="28" t="str">
        <f aca="false">IF($B526="","",IF(COUNTIF($B$2:$B526,$B526)=1,"新規","リピート"))</f>
        <v/>
      </c>
    </row>
    <row r="527" customFormat="false" ht="15" hidden="false" customHeight="false" outlineLevel="0" collapsed="false">
      <c r="A527" s="43"/>
      <c r="B527" s="43"/>
      <c r="C527" s="43"/>
      <c r="D527" s="43"/>
      <c r="E527" s="44"/>
      <c r="F527" s="28" t="str">
        <f aca="false">IF($B527="","",IF(COUNTIF($B$2:$B527,$B527)=1,"新規","リピート"))</f>
        <v/>
      </c>
    </row>
    <row r="528" customFormat="false" ht="15" hidden="false" customHeight="false" outlineLevel="0" collapsed="false">
      <c r="A528" s="43"/>
      <c r="B528" s="43"/>
      <c r="C528" s="43"/>
      <c r="D528" s="43"/>
      <c r="E528" s="44"/>
      <c r="F528" s="28" t="str">
        <f aca="false">IF($B528="","",IF(COUNTIF($B$2:$B528,$B528)=1,"新規","リピート"))</f>
        <v/>
      </c>
    </row>
    <row r="529" customFormat="false" ht="15" hidden="false" customHeight="false" outlineLevel="0" collapsed="false">
      <c r="A529" s="43"/>
      <c r="B529" s="43"/>
      <c r="C529" s="43"/>
      <c r="D529" s="43"/>
      <c r="E529" s="44"/>
      <c r="F529" s="28" t="str">
        <f aca="false">IF($B529="","",IF(COUNTIF($B$2:$B529,$B529)=1,"新規","リピート"))</f>
        <v/>
      </c>
    </row>
    <row r="530" customFormat="false" ht="15" hidden="false" customHeight="false" outlineLevel="0" collapsed="false">
      <c r="A530" s="43"/>
      <c r="B530" s="43"/>
      <c r="C530" s="43"/>
      <c r="D530" s="43"/>
      <c r="E530" s="44"/>
      <c r="F530" s="28" t="str">
        <f aca="false">IF($B530="","",IF(COUNTIF($B$2:$B530,$B530)=1,"新規","リピート"))</f>
        <v/>
      </c>
    </row>
    <row r="531" customFormat="false" ht="15" hidden="false" customHeight="false" outlineLevel="0" collapsed="false">
      <c r="A531" s="43"/>
      <c r="B531" s="43"/>
      <c r="C531" s="43"/>
      <c r="D531" s="43"/>
      <c r="E531" s="44"/>
      <c r="F531" s="28" t="str">
        <f aca="false">IF($B531="","",IF(COUNTIF($B$2:$B531,$B531)=1,"新規","リピート"))</f>
        <v/>
      </c>
    </row>
    <row r="532" customFormat="false" ht="15" hidden="false" customHeight="false" outlineLevel="0" collapsed="false">
      <c r="A532" s="43"/>
      <c r="B532" s="43"/>
      <c r="C532" s="43"/>
      <c r="D532" s="43"/>
      <c r="E532" s="44"/>
      <c r="F532" s="28" t="str">
        <f aca="false">IF($B532="","",IF(COUNTIF($B$2:$B532,$B532)=1,"新規","リピート"))</f>
        <v/>
      </c>
    </row>
    <row r="533" customFormat="false" ht="15" hidden="false" customHeight="false" outlineLevel="0" collapsed="false">
      <c r="A533" s="43"/>
      <c r="B533" s="43"/>
      <c r="C533" s="43"/>
      <c r="D533" s="43"/>
      <c r="E533" s="44"/>
      <c r="F533" s="28" t="str">
        <f aca="false">IF($B533="","",IF(COUNTIF($B$2:$B533,$B533)=1,"新規","リピート"))</f>
        <v/>
      </c>
    </row>
    <row r="534" customFormat="false" ht="15" hidden="false" customHeight="false" outlineLevel="0" collapsed="false">
      <c r="A534" s="43"/>
      <c r="B534" s="43"/>
      <c r="C534" s="43"/>
      <c r="D534" s="43"/>
      <c r="E534" s="44"/>
      <c r="F534" s="28" t="str">
        <f aca="false">IF($B534="","",IF(COUNTIF($B$2:$B534,$B534)=1,"新規","リピート"))</f>
        <v/>
      </c>
    </row>
    <row r="535" customFormat="false" ht="15" hidden="false" customHeight="false" outlineLevel="0" collapsed="false">
      <c r="A535" s="43"/>
      <c r="B535" s="43"/>
      <c r="C535" s="43"/>
      <c r="D535" s="43"/>
      <c r="E535" s="44"/>
      <c r="F535" s="28" t="str">
        <f aca="false">IF($B535="","",IF(COUNTIF($B$2:$B535,$B535)=1,"新規","リピート"))</f>
        <v/>
      </c>
    </row>
    <row r="536" customFormat="false" ht="15" hidden="false" customHeight="false" outlineLevel="0" collapsed="false">
      <c r="A536" s="43"/>
      <c r="B536" s="43"/>
      <c r="C536" s="43"/>
      <c r="D536" s="43"/>
      <c r="E536" s="44"/>
      <c r="F536" s="28" t="str">
        <f aca="false">IF($B536="","",IF(COUNTIF($B$2:$B536,$B536)=1,"新規","リピート"))</f>
        <v/>
      </c>
    </row>
    <row r="537" customFormat="false" ht="15" hidden="false" customHeight="false" outlineLevel="0" collapsed="false">
      <c r="A537" s="43"/>
      <c r="B537" s="43"/>
      <c r="C537" s="43"/>
      <c r="D537" s="43"/>
      <c r="E537" s="44"/>
      <c r="F537" s="28" t="str">
        <f aca="false">IF($B537="","",IF(COUNTIF($B$2:$B537,$B537)=1,"新規","リピート"))</f>
        <v/>
      </c>
    </row>
    <row r="538" customFormat="false" ht="15" hidden="false" customHeight="false" outlineLevel="0" collapsed="false">
      <c r="A538" s="43"/>
      <c r="B538" s="43"/>
      <c r="C538" s="43"/>
      <c r="D538" s="43"/>
      <c r="E538" s="44"/>
      <c r="F538" s="28" t="str">
        <f aca="false">IF($B538="","",IF(COUNTIF($B$2:$B538,$B538)=1,"新規","リピート"))</f>
        <v/>
      </c>
    </row>
    <row r="539" customFormat="false" ht="15" hidden="false" customHeight="false" outlineLevel="0" collapsed="false">
      <c r="A539" s="43"/>
      <c r="B539" s="43"/>
      <c r="C539" s="43"/>
      <c r="D539" s="43"/>
      <c r="E539" s="44"/>
      <c r="F539" s="28" t="str">
        <f aca="false">IF($B539="","",IF(COUNTIF($B$2:$B539,$B539)=1,"新規","リピート"))</f>
        <v/>
      </c>
    </row>
    <row r="540" customFormat="false" ht="15" hidden="false" customHeight="false" outlineLevel="0" collapsed="false">
      <c r="A540" s="43"/>
      <c r="B540" s="43"/>
      <c r="C540" s="43"/>
      <c r="D540" s="43"/>
      <c r="E540" s="44"/>
      <c r="F540" s="28" t="str">
        <f aca="false">IF($B540="","",IF(COUNTIF($B$2:$B540,$B540)=1,"新規","リピート"))</f>
        <v/>
      </c>
    </row>
    <row r="541" customFormat="false" ht="15" hidden="false" customHeight="false" outlineLevel="0" collapsed="false">
      <c r="A541" s="43"/>
      <c r="B541" s="43"/>
      <c r="C541" s="43"/>
      <c r="D541" s="43"/>
      <c r="E541" s="44"/>
      <c r="F541" s="28" t="str">
        <f aca="false">IF($B541="","",IF(COUNTIF($B$2:$B541,$B541)=1,"新規","リピート"))</f>
        <v/>
      </c>
    </row>
    <row r="542" customFormat="false" ht="15" hidden="false" customHeight="false" outlineLevel="0" collapsed="false">
      <c r="A542" s="43"/>
      <c r="B542" s="43"/>
      <c r="C542" s="43"/>
      <c r="D542" s="43"/>
      <c r="E542" s="44"/>
      <c r="F542" s="28" t="str">
        <f aca="false">IF($B542="","",IF(COUNTIF($B$2:$B542,$B542)=1,"新規","リピート"))</f>
        <v/>
      </c>
    </row>
    <row r="543" customFormat="false" ht="15" hidden="false" customHeight="false" outlineLevel="0" collapsed="false">
      <c r="A543" s="43"/>
      <c r="B543" s="43"/>
      <c r="C543" s="43"/>
      <c r="D543" s="43"/>
      <c r="E543" s="44"/>
      <c r="F543" s="28" t="str">
        <f aca="false">IF($B543="","",IF(COUNTIF($B$2:$B543,$B543)=1,"新規","リピート"))</f>
        <v/>
      </c>
    </row>
    <row r="544" customFormat="false" ht="15" hidden="false" customHeight="false" outlineLevel="0" collapsed="false">
      <c r="A544" s="43"/>
      <c r="B544" s="43"/>
      <c r="C544" s="43"/>
      <c r="D544" s="43"/>
      <c r="E544" s="44"/>
      <c r="F544" s="28" t="str">
        <f aca="false">IF($B544="","",IF(COUNTIF($B$2:$B544,$B544)=1,"新規","リピート"))</f>
        <v/>
      </c>
    </row>
    <row r="545" customFormat="false" ht="15" hidden="false" customHeight="false" outlineLevel="0" collapsed="false">
      <c r="A545" s="43"/>
      <c r="B545" s="43"/>
      <c r="C545" s="43"/>
      <c r="D545" s="43"/>
      <c r="E545" s="44"/>
      <c r="F545" s="28" t="str">
        <f aca="false">IF($B545="","",IF(COUNTIF($B$2:$B545,$B545)=1,"新規","リピート"))</f>
        <v/>
      </c>
    </row>
    <row r="546" customFormat="false" ht="15" hidden="false" customHeight="false" outlineLevel="0" collapsed="false">
      <c r="A546" s="43"/>
      <c r="B546" s="43"/>
      <c r="C546" s="43"/>
      <c r="D546" s="43"/>
      <c r="E546" s="44"/>
      <c r="F546" s="28" t="str">
        <f aca="false">IF($B546="","",IF(COUNTIF($B$2:$B546,$B546)=1,"新規","リピート"))</f>
        <v/>
      </c>
    </row>
    <row r="547" customFormat="false" ht="15" hidden="false" customHeight="false" outlineLevel="0" collapsed="false">
      <c r="A547" s="43"/>
      <c r="B547" s="43"/>
      <c r="C547" s="43"/>
      <c r="D547" s="43"/>
      <c r="E547" s="44"/>
      <c r="F547" s="28" t="str">
        <f aca="false">IF($B547="","",IF(COUNTIF($B$2:$B547,$B547)=1,"新規","リピート"))</f>
        <v/>
      </c>
    </row>
    <row r="548" customFormat="false" ht="15" hidden="false" customHeight="false" outlineLevel="0" collapsed="false">
      <c r="A548" s="43"/>
      <c r="B548" s="43"/>
      <c r="C548" s="43"/>
      <c r="D548" s="43"/>
      <c r="E548" s="44"/>
      <c r="F548" s="28" t="str">
        <f aca="false">IF($B548="","",IF(COUNTIF($B$2:$B548,$B548)=1,"新規","リピート"))</f>
        <v/>
      </c>
    </row>
    <row r="549" customFormat="false" ht="15" hidden="false" customHeight="false" outlineLevel="0" collapsed="false">
      <c r="A549" s="43"/>
      <c r="B549" s="43"/>
      <c r="C549" s="43"/>
      <c r="D549" s="43"/>
      <c r="E549" s="44"/>
      <c r="F549" s="28" t="str">
        <f aca="false">IF($B549="","",IF(COUNTIF($B$2:$B549,$B549)=1,"新規","リピート"))</f>
        <v/>
      </c>
    </row>
    <row r="550" customFormat="false" ht="15" hidden="false" customHeight="false" outlineLevel="0" collapsed="false">
      <c r="A550" s="43"/>
      <c r="B550" s="43"/>
      <c r="C550" s="43"/>
      <c r="D550" s="43"/>
      <c r="E550" s="44"/>
      <c r="F550" s="28" t="str">
        <f aca="false">IF($B550="","",IF(COUNTIF($B$2:$B550,$B550)=1,"新規","リピート"))</f>
        <v/>
      </c>
    </row>
    <row r="551" customFormat="false" ht="15" hidden="false" customHeight="false" outlineLevel="0" collapsed="false">
      <c r="A551" s="43"/>
      <c r="B551" s="43"/>
      <c r="C551" s="43"/>
      <c r="D551" s="43"/>
      <c r="E551" s="44"/>
      <c r="F551" s="28" t="str">
        <f aca="false">IF($B551="","",IF(COUNTIF($B$2:$B551,$B551)=1,"新規","リピート"))</f>
        <v/>
      </c>
    </row>
    <row r="552" customFormat="false" ht="15" hidden="false" customHeight="false" outlineLevel="0" collapsed="false">
      <c r="A552" s="43"/>
      <c r="B552" s="43"/>
      <c r="C552" s="43"/>
      <c r="D552" s="43"/>
      <c r="E552" s="44"/>
      <c r="F552" s="28" t="str">
        <f aca="false">IF($B552="","",IF(COUNTIF($B$2:$B552,$B552)=1,"新規","リピート"))</f>
        <v/>
      </c>
    </row>
    <row r="553" customFormat="false" ht="15" hidden="false" customHeight="false" outlineLevel="0" collapsed="false">
      <c r="A553" s="43"/>
      <c r="B553" s="43"/>
      <c r="C553" s="43"/>
      <c r="D553" s="43"/>
      <c r="E553" s="44"/>
      <c r="F553" s="28" t="str">
        <f aca="false">IF($B553="","",IF(COUNTIF($B$2:$B553,$B553)=1,"新規","リピート"))</f>
        <v/>
      </c>
    </row>
    <row r="554" customFormat="false" ht="15" hidden="false" customHeight="false" outlineLevel="0" collapsed="false">
      <c r="A554" s="43"/>
      <c r="B554" s="43"/>
      <c r="C554" s="43"/>
      <c r="D554" s="43"/>
      <c r="E554" s="44"/>
      <c r="F554" s="28" t="str">
        <f aca="false">IF($B554="","",IF(COUNTIF($B$2:$B554,$B554)=1,"新規","リピート"))</f>
        <v/>
      </c>
    </row>
    <row r="555" customFormat="false" ht="15" hidden="false" customHeight="false" outlineLevel="0" collapsed="false">
      <c r="A555" s="43"/>
      <c r="B555" s="43"/>
      <c r="C555" s="43"/>
      <c r="D555" s="43"/>
      <c r="E555" s="44"/>
      <c r="F555" s="28" t="str">
        <f aca="false">IF($B555="","",IF(COUNTIF($B$2:$B555,$B555)=1,"新規","リピート"))</f>
        <v/>
      </c>
    </row>
    <row r="556" customFormat="false" ht="15" hidden="false" customHeight="false" outlineLevel="0" collapsed="false">
      <c r="A556" s="43"/>
      <c r="B556" s="43"/>
      <c r="C556" s="43"/>
      <c r="D556" s="43"/>
      <c r="E556" s="44"/>
      <c r="F556" s="28" t="str">
        <f aca="false">IF($B556="","",IF(COUNTIF($B$2:$B556,$B556)=1,"新規","リピート"))</f>
        <v/>
      </c>
    </row>
    <row r="557" customFormat="false" ht="15" hidden="false" customHeight="false" outlineLevel="0" collapsed="false">
      <c r="A557" s="43"/>
      <c r="B557" s="43"/>
      <c r="C557" s="43"/>
      <c r="D557" s="43"/>
      <c r="E557" s="44"/>
      <c r="F557" s="28" t="str">
        <f aca="false">IF($B557="","",IF(COUNTIF($B$2:$B557,$B557)=1,"新規","リピート"))</f>
        <v/>
      </c>
    </row>
    <row r="558" customFormat="false" ht="15" hidden="false" customHeight="false" outlineLevel="0" collapsed="false">
      <c r="A558" s="43"/>
      <c r="B558" s="43"/>
      <c r="C558" s="43"/>
      <c r="D558" s="43"/>
      <c r="E558" s="44"/>
      <c r="F558" s="28" t="str">
        <f aca="false">IF($B558="","",IF(COUNTIF($B$2:$B558,$B558)=1,"新規","リピート"))</f>
        <v/>
      </c>
    </row>
    <row r="559" customFormat="false" ht="15" hidden="false" customHeight="false" outlineLevel="0" collapsed="false">
      <c r="A559" s="43"/>
      <c r="B559" s="43"/>
      <c r="C559" s="43"/>
      <c r="D559" s="43"/>
      <c r="E559" s="44"/>
      <c r="F559" s="28" t="str">
        <f aca="false">IF($B559="","",IF(COUNTIF($B$2:$B559,$B559)=1,"新規","リピート"))</f>
        <v/>
      </c>
    </row>
    <row r="560" customFormat="false" ht="15" hidden="false" customHeight="false" outlineLevel="0" collapsed="false">
      <c r="A560" s="43"/>
      <c r="B560" s="43"/>
      <c r="C560" s="43"/>
      <c r="D560" s="43"/>
      <c r="E560" s="44"/>
      <c r="F560" s="28" t="str">
        <f aca="false">IF($B560="","",IF(COUNTIF($B$2:$B560,$B560)=1,"新規","リピート"))</f>
        <v/>
      </c>
    </row>
    <row r="561" customFormat="false" ht="15" hidden="false" customHeight="false" outlineLevel="0" collapsed="false">
      <c r="A561" s="43"/>
      <c r="B561" s="43"/>
      <c r="C561" s="43"/>
      <c r="D561" s="43"/>
      <c r="E561" s="44"/>
      <c r="F561" s="28" t="str">
        <f aca="false">IF($B561="","",IF(COUNTIF($B$2:$B561,$B561)=1,"新規","リピート"))</f>
        <v/>
      </c>
    </row>
    <row r="562" customFormat="false" ht="15" hidden="false" customHeight="false" outlineLevel="0" collapsed="false">
      <c r="A562" s="43"/>
      <c r="B562" s="43"/>
      <c r="C562" s="43"/>
      <c r="D562" s="43"/>
      <c r="E562" s="44"/>
      <c r="F562" s="28" t="str">
        <f aca="false">IF($B562="","",IF(COUNTIF($B$2:$B562,$B562)=1,"新規","リピート"))</f>
        <v/>
      </c>
    </row>
    <row r="563" customFormat="false" ht="15" hidden="false" customHeight="false" outlineLevel="0" collapsed="false">
      <c r="A563" s="43"/>
      <c r="B563" s="43"/>
      <c r="C563" s="43"/>
      <c r="D563" s="43"/>
      <c r="E563" s="44"/>
      <c r="F563" s="28" t="str">
        <f aca="false">IF($B563="","",IF(COUNTIF($B$2:$B563,$B563)=1,"新規","リピート"))</f>
        <v/>
      </c>
    </row>
    <row r="564" customFormat="false" ht="15" hidden="false" customHeight="false" outlineLevel="0" collapsed="false">
      <c r="A564" s="43"/>
      <c r="B564" s="43"/>
      <c r="C564" s="43"/>
      <c r="D564" s="43"/>
      <c r="E564" s="44"/>
      <c r="F564" s="28" t="str">
        <f aca="false">IF($B564="","",IF(COUNTIF($B$2:$B564,$B564)=1,"新規","リピート"))</f>
        <v/>
      </c>
    </row>
    <row r="565" customFormat="false" ht="15" hidden="false" customHeight="false" outlineLevel="0" collapsed="false">
      <c r="A565" s="43"/>
      <c r="B565" s="43"/>
      <c r="C565" s="43"/>
      <c r="D565" s="43"/>
      <c r="E565" s="44"/>
      <c r="F565" s="28" t="str">
        <f aca="false">IF($B565="","",IF(COUNTIF($B$2:$B565,$B565)=1,"新規","リピート"))</f>
        <v/>
      </c>
    </row>
    <row r="566" customFormat="false" ht="15" hidden="false" customHeight="false" outlineLevel="0" collapsed="false">
      <c r="A566" s="43"/>
      <c r="B566" s="43"/>
      <c r="C566" s="43"/>
      <c r="D566" s="43"/>
      <c r="E566" s="44"/>
      <c r="F566" s="28" t="str">
        <f aca="false">IF($B566="","",IF(COUNTIF($B$2:$B566,$B566)=1,"新規","リピート"))</f>
        <v/>
      </c>
    </row>
    <row r="567" customFormat="false" ht="15" hidden="false" customHeight="false" outlineLevel="0" collapsed="false">
      <c r="A567" s="43"/>
      <c r="B567" s="43"/>
      <c r="C567" s="43"/>
      <c r="D567" s="43"/>
      <c r="E567" s="44"/>
      <c r="F567" s="28" t="str">
        <f aca="false">IF($B567="","",IF(COUNTIF($B$2:$B567,$B567)=1,"新規","リピート"))</f>
        <v/>
      </c>
    </row>
    <row r="568" customFormat="false" ht="15" hidden="false" customHeight="false" outlineLevel="0" collapsed="false">
      <c r="A568" s="43"/>
      <c r="B568" s="43"/>
      <c r="C568" s="43"/>
      <c r="D568" s="43"/>
      <c r="E568" s="44"/>
      <c r="F568" s="28" t="str">
        <f aca="false">IF($B568="","",IF(COUNTIF($B$2:$B568,$B568)=1,"新規","リピート"))</f>
        <v/>
      </c>
    </row>
    <row r="569" customFormat="false" ht="15" hidden="false" customHeight="false" outlineLevel="0" collapsed="false">
      <c r="A569" s="43"/>
      <c r="B569" s="43"/>
      <c r="C569" s="43"/>
      <c r="D569" s="43"/>
      <c r="E569" s="44"/>
      <c r="F569" s="28" t="str">
        <f aca="false">IF($B569="","",IF(COUNTIF($B$2:$B569,$B569)=1,"新規","リピート"))</f>
        <v/>
      </c>
    </row>
    <row r="570" customFormat="false" ht="15" hidden="false" customHeight="false" outlineLevel="0" collapsed="false">
      <c r="A570" s="43"/>
      <c r="B570" s="43"/>
      <c r="C570" s="43"/>
      <c r="D570" s="43"/>
      <c r="E570" s="44"/>
      <c r="F570" s="28" t="str">
        <f aca="false">IF($B570="","",IF(COUNTIF($B$2:$B570,$B570)=1,"新規","リピート"))</f>
        <v/>
      </c>
    </row>
    <row r="571" customFormat="false" ht="15" hidden="false" customHeight="false" outlineLevel="0" collapsed="false">
      <c r="A571" s="43"/>
      <c r="B571" s="43"/>
      <c r="C571" s="43"/>
      <c r="D571" s="43"/>
      <c r="E571" s="44"/>
      <c r="F571" s="28" t="str">
        <f aca="false">IF($B571="","",IF(COUNTIF($B$2:$B571,$B571)=1,"新規","リピート"))</f>
        <v/>
      </c>
    </row>
    <row r="572" customFormat="false" ht="15" hidden="false" customHeight="false" outlineLevel="0" collapsed="false">
      <c r="A572" s="43"/>
      <c r="B572" s="43"/>
      <c r="C572" s="43"/>
      <c r="D572" s="43"/>
      <c r="E572" s="44"/>
      <c r="F572" s="28" t="str">
        <f aca="false">IF($B572="","",IF(COUNTIF($B$2:$B572,$B572)=1,"新規","リピート"))</f>
        <v/>
      </c>
    </row>
    <row r="573" customFormat="false" ht="15" hidden="false" customHeight="false" outlineLevel="0" collapsed="false">
      <c r="A573" s="43"/>
      <c r="B573" s="43"/>
      <c r="C573" s="43"/>
      <c r="D573" s="43"/>
      <c r="E573" s="44"/>
      <c r="F573" s="28" t="str">
        <f aca="false">IF($B573="","",IF(COUNTIF($B$2:$B573,$B573)=1,"新規","リピート"))</f>
        <v/>
      </c>
    </row>
    <row r="574" customFormat="false" ht="15" hidden="false" customHeight="false" outlineLevel="0" collapsed="false">
      <c r="A574" s="43"/>
      <c r="B574" s="43"/>
      <c r="C574" s="43"/>
      <c r="D574" s="43"/>
      <c r="E574" s="44"/>
      <c r="F574" s="28" t="str">
        <f aca="false">IF($B574="","",IF(COUNTIF($B$2:$B574,$B574)=1,"新規","リピート"))</f>
        <v/>
      </c>
    </row>
    <row r="575" customFormat="false" ht="15" hidden="false" customHeight="false" outlineLevel="0" collapsed="false">
      <c r="A575" s="43"/>
      <c r="B575" s="43"/>
      <c r="C575" s="43"/>
      <c r="D575" s="43"/>
      <c r="E575" s="44"/>
      <c r="F575" s="28" t="str">
        <f aca="false">IF($B575="","",IF(COUNTIF($B$2:$B575,$B575)=1,"新規","リピート"))</f>
        <v/>
      </c>
    </row>
    <row r="576" customFormat="false" ht="15" hidden="false" customHeight="false" outlineLevel="0" collapsed="false">
      <c r="A576" s="43"/>
      <c r="B576" s="43"/>
      <c r="C576" s="43"/>
      <c r="D576" s="43"/>
      <c r="E576" s="44"/>
      <c r="F576" s="28" t="str">
        <f aca="false">IF($B576="","",IF(COUNTIF($B$2:$B576,$B576)=1,"新規","リピート"))</f>
        <v/>
      </c>
    </row>
    <row r="577" customFormat="false" ht="15" hidden="false" customHeight="false" outlineLevel="0" collapsed="false">
      <c r="A577" s="43"/>
      <c r="B577" s="43"/>
      <c r="C577" s="43"/>
      <c r="D577" s="43"/>
      <c r="E577" s="44"/>
      <c r="F577" s="28" t="str">
        <f aca="false">IF($B577="","",IF(COUNTIF($B$2:$B577,$B577)=1,"新規","リピート"))</f>
        <v/>
      </c>
    </row>
    <row r="578" customFormat="false" ht="15" hidden="false" customHeight="false" outlineLevel="0" collapsed="false">
      <c r="A578" s="43"/>
      <c r="B578" s="43"/>
      <c r="C578" s="43"/>
      <c r="D578" s="43"/>
      <c r="E578" s="44"/>
      <c r="F578" s="28" t="str">
        <f aca="false">IF($B578="","",IF(COUNTIF($B$2:$B578,$B578)=1,"新規","リピート"))</f>
        <v/>
      </c>
    </row>
    <row r="579" customFormat="false" ht="15" hidden="false" customHeight="false" outlineLevel="0" collapsed="false">
      <c r="A579" s="43"/>
      <c r="B579" s="43"/>
      <c r="C579" s="43"/>
      <c r="D579" s="43"/>
      <c r="E579" s="44"/>
      <c r="F579" s="28" t="str">
        <f aca="false">IF($B579="","",IF(COUNTIF($B$2:$B579,$B579)=1,"新規","リピート"))</f>
        <v/>
      </c>
    </row>
    <row r="580" customFormat="false" ht="15" hidden="false" customHeight="false" outlineLevel="0" collapsed="false">
      <c r="A580" s="43"/>
      <c r="B580" s="43"/>
      <c r="C580" s="43"/>
      <c r="D580" s="43"/>
      <c r="E580" s="44"/>
      <c r="F580" s="28" t="str">
        <f aca="false">IF($B580="","",IF(COUNTIF($B$2:$B580,$B580)=1,"新規","リピート"))</f>
        <v/>
      </c>
    </row>
    <row r="581" customFormat="false" ht="15" hidden="false" customHeight="false" outlineLevel="0" collapsed="false">
      <c r="A581" s="43"/>
      <c r="B581" s="43"/>
      <c r="C581" s="43"/>
      <c r="D581" s="43"/>
      <c r="E581" s="44"/>
      <c r="F581" s="28" t="str">
        <f aca="false">IF($B581="","",IF(COUNTIF($B$2:$B581,$B581)=1,"新規","リピート"))</f>
        <v/>
      </c>
    </row>
    <row r="582" customFormat="false" ht="15" hidden="false" customHeight="false" outlineLevel="0" collapsed="false">
      <c r="A582" s="43"/>
      <c r="B582" s="43"/>
      <c r="C582" s="43"/>
      <c r="D582" s="43"/>
      <c r="E582" s="44"/>
      <c r="F582" s="28" t="str">
        <f aca="false">IF($B582="","",IF(COUNTIF($B$2:$B582,$B582)=1,"新規","リピート"))</f>
        <v/>
      </c>
    </row>
    <row r="583" customFormat="false" ht="15" hidden="false" customHeight="false" outlineLevel="0" collapsed="false">
      <c r="A583" s="43"/>
      <c r="B583" s="43"/>
      <c r="C583" s="43"/>
      <c r="D583" s="43"/>
      <c r="E583" s="44"/>
      <c r="F583" s="28" t="str">
        <f aca="false">IF($B583="","",IF(COUNTIF($B$2:$B583,$B583)=1,"新規","リピート"))</f>
        <v/>
      </c>
    </row>
    <row r="584" customFormat="false" ht="15" hidden="false" customHeight="false" outlineLevel="0" collapsed="false">
      <c r="A584" s="43"/>
      <c r="B584" s="43"/>
      <c r="C584" s="43"/>
      <c r="D584" s="43"/>
      <c r="E584" s="44"/>
      <c r="F584" s="28" t="str">
        <f aca="false">IF($B584="","",IF(COUNTIF($B$2:$B584,$B584)=1,"新規","リピート"))</f>
        <v/>
      </c>
    </row>
    <row r="585" customFormat="false" ht="15" hidden="false" customHeight="false" outlineLevel="0" collapsed="false">
      <c r="A585" s="43"/>
      <c r="B585" s="43"/>
      <c r="C585" s="43"/>
      <c r="D585" s="43"/>
      <c r="E585" s="44"/>
      <c r="F585" s="28" t="str">
        <f aca="false">IF($B585="","",IF(COUNTIF($B$2:$B585,$B585)=1,"新規","リピート"))</f>
        <v/>
      </c>
    </row>
    <row r="586" customFormat="false" ht="15" hidden="false" customHeight="false" outlineLevel="0" collapsed="false">
      <c r="A586" s="43"/>
      <c r="B586" s="43"/>
      <c r="C586" s="43"/>
      <c r="D586" s="43"/>
      <c r="E586" s="44"/>
      <c r="F586" s="28" t="str">
        <f aca="false">IF($B586="","",IF(COUNTIF($B$2:$B586,$B586)=1,"新規","リピート"))</f>
        <v/>
      </c>
    </row>
    <row r="587" customFormat="false" ht="15" hidden="false" customHeight="false" outlineLevel="0" collapsed="false">
      <c r="A587" s="43"/>
      <c r="B587" s="43"/>
      <c r="C587" s="43"/>
      <c r="D587" s="43"/>
      <c r="E587" s="44"/>
      <c r="F587" s="28" t="str">
        <f aca="false">IF($B587="","",IF(COUNTIF($B$2:$B587,$B587)=1,"新規","リピート"))</f>
        <v/>
      </c>
    </row>
    <row r="588" customFormat="false" ht="15" hidden="false" customHeight="false" outlineLevel="0" collapsed="false">
      <c r="A588" s="43"/>
      <c r="B588" s="43"/>
      <c r="C588" s="43"/>
      <c r="D588" s="43"/>
      <c r="E588" s="44"/>
      <c r="F588" s="28" t="str">
        <f aca="false">IF($B588="","",IF(COUNTIF($B$2:$B588,$B588)=1,"新規","リピート"))</f>
        <v/>
      </c>
    </row>
    <row r="589" customFormat="false" ht="15" hidden="false" customHeight="false" outlineLevel="0" collapsed="false">
      <c r="A589" s="43"/>
      <c r="B589" s="43"/>
      <c r="C589" s="43"/>
      <c r="D589" s="43"/>
      <c r="E589" s="44"/>
      <c r="F589" s="28" t="str">
        <f aca="false">IF($B589="","",IF(COUNTIF($B$2:$B589,$B589)=1,"新規","リピート"))</f>
        <v/>
      </c>
    </row>
    <row r="590" customFormat="false" ht="15" hidden="false" customHeight="false" outlineLevel="0" collapsed="false">
      <c r="A590" s="43"/>
      <c r="B590" s="43"/>
      <c r="C590" s="43"/>
      <c r="D590" s="43"/>
      <c r="E590" s="44"/>
      <c r="F590" s="28" t="str">
        <f aca="false">IF($B590="","",IF(COUNTIF($B$2:$B590,$B590)=1,"新規","リピート"))</f>
        <v/>
      </c>
    </row>
    <row r="591" customFormat="false" ht="15" hidden="false" customHeight="false" outlineLevel="0" collapsed="false">
      <c r="A591" s="43"/>
      <c r="B591" s="43"/>
      <c r="C591" s="43"/>
      <c r="D591" s="43"/>
      <c r="E591" s="44"/>
      <c r="F591" s="28" t="str">
        <f aca="false">IF($B591="","",IF(COUNTIF($B$2:$B591,$B591)=1,"新規","リピート"))</f>
        <v/>
      </c>
    </row>
    <row r="592" customFormat="false" ht="15" hidden="false" customHeight="false" outlineLevel="0" collapsed="false">
      <c r="A592" s="43"/>
      <c r="B592" s="43"/>
      <c r="C592" s="43"/>
      <c r="D592" s="43"/>
      <c r="E592" s="44"/>
      <c r="F592" s="28" t="str">
        <f aca="false">IF($B592="","",IF(COUNTIF($B$2:$B592,$B592)=1,"新規","リピート"))</f>
        <v/>
      </c>
    </row>
    <row r="593" customFormat="false" ht="15" hidden="false" customHeight="false" outlineLevel="0" collapsed="false">
      <c r="A593" s="43"/>
      <c r="B593" s="43"/>
      <c r="C593" s="43"/>
      <c r="D593" s="43"/>
      <c r="E593" s="44"/>
      <c r="F593" s="28" t="str">
        <f aca="false">IF($B593="","",IF(COUNTIF($B$2:$B593,$B593)=1,"新規","リピート"))</f>
        <v/>
      </c>
    </row>
    <row r="594" customFormat="false" ht="15" hidden="false" customHeight="false" outlineLevel="0" collapsed="false">
      <c r="A594" s="43"/>
      <c r="B594" s="43"/>
      <c r="C594" s="43"/>
      <c r="D594" s="43"/>
      <c r="E594" s="44"/>
      <c r="F594" s="28" t="str">
        <f aca="false">IF($B594="","",IF(COUNTIF($B$2:$B594,$B594)=1,"新規","リピート"))</f>
        <v/>
      </c>
    </row>
    <row r="595" customFormat="false" ht="15" hidden="false" customHeight="false" outlineLevel="0" collapsed="false">
      <c r="A595" s="43"/>
      <c r="B595" s="43"/>
      <c r="C595" s="43"/>
      <c r="D595" s="43"/>
      <c r="E595" s="44"/>
      <c r="F595" s="28" t="str">
        <f aca="false">IF($B595="","",IF(COUNTIF($B$2:$B595,$B595)=1,"新規","リピート"))</f>
        <v/>
      </c>
    </row>
    <row r="596" customFormat="false" ht="15" hidden="false" customHeight="false" outlineLevel="0" collapsed="false">
      <c r="A596" s="43"/>
      <c r="B596" s="43"/>
      <c r="C596" s="43"/>
      <c r="D596" s="43"/>
      <c r="E596" s="44"/>
      <c r="F596" s="28" t="str">
        <f aca="false">IF($B596="","",IF(COUNTIF($B$2:$B596,$B596)=1,"新規","リピート"))</f>
        <v/>
      </c>
    </row>
    <row r="597" customFormat="false" ht="15" hidden="false" customHeight="false" outlineLevel="0" collapsed="false">
      <c r="A597" s="43"/>
      <c r="B597" s="43"/>
      <c r="C597" s="43"/>
      <c r="D597" s="43"/>
      <c r="E597" s="44"/>
      <c r="F597" s="28" t="str">
        <f aca="false">IF($B597="","",IF(COUNTIF($B$2:$B597,$B597)=1,"新規","リピート"))</f>
        <v/>
      </c>
    </row>
    <row r="598" customFormat="false" ht="15" hidden="false" customHeight="false" outlineLevel="0" collapsed="false">
      <c r="A598" s="43"/>
      <c r="B598" s="43"/>
      <c r="C598" s="43"/>
      <c r="D598" s="43"/>
      <c r="E598" s="44"/>
      <c r="F598" s="28" t="str">
        <f aca="false">IF($B598="","",IF(COUNTIF($B$2:$B598,$B598)=1,"新規","リピート"))</f>
        <v/>
      </c>
    </row>
    <row r="599" customFormat="false" ht="15" hidden="false" customHeight="false" outlineLevel="0" collapsed="false">
      <c r="A599" s="43"/>
      <c r="B599" s="43"/>
      <c r="C599" s="43"/>
      <c r="D599" s="43"/>
      <c r="E599" s="44"/>
      <c r="F599" s="28" t="str">
        <f aca="false">IF($B599="","",IF(COUNTIF($B$2:$B599,$B599)=1,"新規","リピート"))</f>
        <v/>
      </c>
    </row>
    <row r="600" customFormat="false" ht="15" hidden="false" customHeight="false" outlineLevel="0" collapsed="false">
      <c r="A600" s="43"/>
      <c r="B600" s="43"/>
      <c r="C600" s="43"/>
      <c r="D600" s="43"/>
      <c r="E600" s="44"/>
      <c r="F600" s="28" t="str">
        <f aca="false">IF($B600="","",IF(COUNTIF($B$2:$B600,$B600)=1,"新規","リピート"))</f>
        <v/>
      </c>
    </row>
    <row r="602" customFormat="false" ht="15" hidden="false" customHeight="false" outlineLevel="0" collapsed="false">
      <c r="A602" s="24" t="s">
        <v>271</v>
      </c>
    </row>
    <row r="603" customFormat="false" ht="15" hidden="false" customHeight="false" outlineLevel="0" collapsed="false">
      <c r="A603" s="2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34" t="s">
        <v>115</v>
      </c>
      <c r="B1" s="34" t="s">
        <v>273</v>
      </c>
      <c r="C1" s="45" t="s">
        <v>274</v>
      </c>
      <c r="D1" s="45" t="s">
        <v>275</v>
      </c>
      <c r="E1" s="45" t="s">
        <v>276</v>
      </c>
      <c r="F1" s="34" t="s">
        <v>277</v>
      </c>
      <c r="G1" s="34" t="s">
        <v>278</v>
      </c>
      <c r="H1" s="34" t="s">
        <v>18</v>
      </c>
      <c r="I1" s="45" t="s">
        <v>279</v>
      </c>
      <c r="J1" s="34" t="s">
        <v>55</v>
      </c>
      <c r="K1" s="34" t="s">
        <v>280</v>
      </c>
      <c r="L1" s="34" t="s">
        <v>281</v>
      </c>
      <c r="M1" s="46" t="n">
        <f aca="false">IFERROR(SLOPE(H2:H37,B2:B37),"")</f>
        <v>0.0438583667758621</v>
      </c>
      <c r="N1" s="47" t="n">
        <f aca="false">IFERROR(INTERCEPT(H2:H37,B2:B37),"")</f>
        <v>2.48684814001772</v>
      </c>
    </row>
    <row r="2" customFormat="false" ht="15" hidden="false" customHeight="false" outlineLevel="0" collapsed="false">
      <c r="A2" s="12" t="s">
        <v>138</v>
      </c>
      <c r="B2" s="21" t="n">
        <v>326</v>
      </c>
      <c r="C2" s="21" t="n">
        <v>161</v>
      </c>
      <c r="D2" s="21" t="n">
        <v>10</v>
      </c>
      <c r="E2" s="21" t="n">
        <v>2</v>
      </c>
      <c r="F2" s="21" t="n">
        <v>12</v>
      </c>
      <c r="G2" s="13" t="n">
        <f aca="false">IF(B2="","",B2-SUM(C2:F2))</f>
        <v>141</v>
      </c>
      <c r="H2" s="48" t="n">
        <f aca="false">IFERROR(公演データ!$J$3,"")</f>
        <v>16</v>
      </c>
      <c r="I2" s="15" t="n">
        <f aca="false">IFERROR(H2/B2,"")</f>
        <v>0.049079754601227</v>
      </c>
      <c r="J2" s="13" t="n">
        <f aca="false">IFERROR(ROUND($M$1*B2+$N$1,1),"")</f>
        <v>16.8</v>
      </c>
      <c r="K2" s="13" t="n">
        <f aca="false">IFERROR(H2-J2,"")</f>
        <v>-0.800000000000001</v>
      </c>
      <c r="L2" s="21"/>
      <c r="M2" s="21"/>
    </row>
    <row r="3" customFormat="false" ht="15" hidden="false" customHeight="false" outlineLevel="0" collapsed="false">
      <c r="A3" s="12" t="s">
        <v>142</v>
      </c>
      <c r="B3" s="21" t="n">
        <v>418</v>
      </c>
      <c r="C3" s="21" t="n">
        <v>219</v>
      </c>
      <c r="D3" s="21" t="n">
        <v>10</v>
      </c>
      <c r="E3" s="21" t="n">
        <v>0</v>
      </c>
      <c r="F3" s="21" t="n">
        <v>9</v>
      </c>
      <c r="G3" s="13" t="n">
        <f aca="false">IF(B3="","",B3-SUM(C3:F3))</f>
        <v>180</v>
      </c>
      <c r="H3" s="48" t="n">
        <f aca="false">IFERROR(公演データ!$J$4,"")</f>
        <v>13</v>
      </c>
      <c r="I3" s="15" t="n">
        <f aca="false">IFERROR(H3/B3,"")</f>
        <v>0.0311004784688995</v>
      </c>
      <c r="J3" s="13" t="n">
        <f aca="false">IFERROR(ROUND($M$1*B3+$N$1,1),"")</f>
        <v>20.8</v>
      </c>
      <c r="K3" s="13" t="n">
        <f aca="false">IFERROR(H3-J3,"")</f>
        <v>-7.8</v>
      </c>
      <c r="L3" s="21"/>
      <c r="M3" s="21"/>
    </row>
    <row r="4" customFormat="false" ht="15" hidden="false" customHeight="false" outlineLevel="0" collapsed="false">
      <c r="A4" s="12" t="s">
        <v>145</v>
      </c>
      <c r="B4" s="21" t="n">
        <v>606</v>
      </c>
      <c r="C4" s="21" t="n">
        <v>264</v>
      </c>
      <c r="D4" s="21" t="n">
        <v>0</v>
      </c>
      <c r="E4" s="21" t="n">
        <v>24</v>
      </c>
      <c r="F4" s="21" t="n">
        <v>82</v>
      </c>
      <c r="G4" s="13" t="n">
        <f aca="false">IF(B4="","",B4-SUM(C4:F4))</f>
        <v>236</v>
      </c>
      <c r="H4" s="48" t="n">
        <f aca="false">IFERROR(公演データ!$J$5,"")</f>
        <v>30</v>
      </c>
      <c r="I4" s="15" t="n">
        <f aca="false">IFERROR(H4/B4,"")</f>
        <v>0.0495049504950495</v>
      </c>
      <c r="J4" s="13" t="n">
        <f aca="false">IFERROR(ROUND($M$1*B4+$N$1,1),"")</f>
        <v>29.1</v>
      </c>
      <c r="K4" s="13" t="n">
        <f aca="false">IFERROR(H4-J4,"")</f>
        <v>0.899999999999999</v>
      </c>
      <c r="L4" s="21"/>
      <c r="M4" s="21"/>
    </row>
    <row r="5" customFormat="false" ht="15" hidden="false" customHeight="false" outlineLevel="0" collapsed="false">
      <c r="A5" s="12" t="s">
        <v>148</v>
      </c>
      <c r="B5" s="21" t="n">
        <v>510</v>
      </c>
      <c r="C5" s="21" t="n">
        <v>329</v>
      </c>
      <c r="D5" s="21" t="n">
        <v>43</v>
      </c>
      <c r="E5" s="21" t="n">
        <v>7</v>
      </c>
      <c r="F5" s="21" t="n">
        <v>23</v>
      </c>
      <c r="G5" s="13" t="n">
        <f aca="false">IF(B5="","",B5-SUM(C5:F5))</f>
        <v>108</v>
      </c>
      <c r="H5" s="48" t="n">
        <f aca="false">IFERROR(公演データ!$J$6,"")</f>
        <v>16</v>
      </c>
      <c r="I5" s="15" t="n">
        <f aca="false">IFERROR(H5/B5,"")</f>
        <v>0.0313725490196078</v>
      </c>
      <c r="J5" s="13" t="n">
        <f aca="false">IFERROR(ROUND($M$1*B5+$N$1,1),"")</f>
        <v>24.9</v>
      </c>
      <c r="K5" s="13" t="n">
        <f aca="false">IFERROR(H5-J5,"")</f>
        <v>-8.9</v>
      </c>
      <c r="L5" s="21"/>
      <c r="M5" s="21"/>
    </row>
    <row r="6" customFormat="false" ht="15" hidden="false" customHeight="false" outlineLevel="0" collapsed="false">
      <c r="A6" s="12" t="s">
        <v>151</v>
      </c>
      <c r="B6" s="21" t="n">
        <v>850</v>
      </c>
      <c r="C6" s="21" t="n">
        <v>476</v>
      </c>
      <c r="D6" s="21" t="n">
        <v>102</v>
      </c>
      <c r="E6" s="21" t="n">
        <v>7</v>
      </c>
      <c r="F6" s="21" t="n">
        <v>48</v>
      </c>
      <c r="G6" s="13" t="n">
        <f aca="false">IF(B6="","",B6-SUM(C6:F6))</f>
        <v>217</v>
      </c>
      <c r="H6" s="48" t="n">
        <f aca="false">IFERROR(公演データ!$J$7,"")</f>
        <v>25</v>
      </c>
      <c r="I6" s="15" t="n">
        <f aca="false">IFERROR(H6/B6,"")</f>
        <v>0.0294117647058824</v>
      </c>
      <c r="J6" s="13" t="n">
        <f aca="false">IFERROR(ROUND($M$1*B6+$N$1,1),"")</f>
        <v>39.8</v>
      </c>
      <c r="K6" s="13" t="n">
        <f aca="false">IFERROR(H6-J6,"")</f>
        <v>-14.8</v>
      </c>
      <c r="L6" s="21"/>
      <c r="M6" s="21"/>
    </row>
    <row r="7" customFormat="false" ht="15" hidden="false" customHeight="false" outlineLevel="0" collapsed="false">
      <c r="A7" s="12" t="s">
        <v>154</v>
      </c>
      <c r="B7" s="21" t="n">
        <v>405</v>
      </c>
      <c r="C7" s="21" t="n">
        <v>181</v>
      </c>
      <c r="D7" s="21" t="n">
        <v>49</v>
      </c>
      <c r="E7" s="21" t="n">
        <v>22</v>
      </c>
      <c r="F7" s="21" t="n">
        <v>21</v>
      </c>
      <c r="G7" s="13" t="n">
        <f aca="false">IF(B7="","",B7-SUM(C7:F7))</f>
        <v>132</v>
      </c>
      <c r="H7" s="48" t="n">
        <f aca="false">IFERROR(公演データ!$J$8,"")</f>
        <v>19</v>
      </c>
      <c r="I7" s="15" t="n">
        <f aca="false">IFERROR(H7/B7,"")</f>
        <v>0.0469135802469136</v>
      </c>
      <c r="J7" s="13" t="n">
        <f aca="false">IFERROR(ROUND($M$1*B7+$N$1,1),"")</f>
        <v>20.2</v>
      </c>
      <c r="K7" s="13" t="n">
        <f aca="false">IFERROR(H7-J7,"")</f>
        <v>-1.2</v>
      </c>
      <c r="L7" s="21"/>
      <c r="M7" s="21"/>
    </row>
    <row r="8" customFormat="false" ht="15" hidden="false" customHeight="false" outlineLevel="0" collapsed="false">
      <c r="A8" s="12" t="s">
        <v>157</v>
      </c>
      <c r="B8" s="21" t="n">
        <v>347</v>
      </c>
      <c r="C8" s="21" t="n">
        <v>182</v>
      </c>
      <c r="D8" s="21" t="n">
        <v>50</v>
      </c>
      <c r="E8" s="21" t="n">
        <v>7</v>
      </c>
      <c r="F8" s="21" t="n">
        <v>15</v>
      </c>
      <c r="G8" s="13" t="n">
        <f aca="false">IF(B8="","",B8-SUM(C8:F8))</f>
        <v>93</v>
      </c>
      <c r="H8" s="48" t="n">
        <f aca="false">IFERROR(公演データ!$J$9,"")</f>
        <v>14</v>
      </c>
      <c r="I8" s="15" t="n">
        <f aca="false">IFERROR(H8/B8,"")</f>
        <v>0.0403458213256484</v>
      </c>
      <c r="J8" s="13" t="n">
        <f aca="false">IFERROR(ROUND($M$1*B8+$N$1,1),"")</f>
        <v>17.7</v>
      </c>
      <c r="K8" s="13" t="n">
        <f aca="false">IFERROR(H8-J8,"")</f>
        <v>-3.7</v>
      </c>
      <c r="L8" s="21"/>
      <c r="M8" s="21"/>
    </row>
    <row r="9" customFormat="false" ht="15" hidden="false" customHeight="false" outlineLevel="0" collapsed="false">
      <c r="A9" s="12" t="s">
        <v>160</v>
      </c>
      <c r="B9" s="21" t="n">
        <v>965</v>
      </c>
      <c r="C9" s="21" t="n">
        <v>462</v>
      </c>
      <c r="D9" s="21" t="n">
        <v>107</v>
      </c>
      <c r="E9" s="21" t="n">
        <v>13</v>
      </c>
      <c r="F9" s="21" t="n">
        <v>153</v>
      </c>
      <c r="G9" s="13" t="n">
        <f aca="false">IF(B9="","",B9-SUM(C9:F9))</f>
        <v>230</v>
      </c>
      <c r="H9" s="48" t="n">
        <f aca="false">IFERROR(公演データ!$J$10,"")</f>
        <v>60</v>
      </c>
      <c r="I9" s="15" t="n">
        <f aca="false">IFERROR(H9/B9,"")</f>
        <v>0.0621761658031088</v>
      </c>
      <c r="J9" s="13" t="n">
        <f aca="false">IFERROR(ROUND($M$1*B9+$N$1,1),"")</f>
        <v>44.8</v>
      </c>
      <c r="K9" s="13" t="n">
        <f aca="false">IFERROR(H9-J9,"")</f>
        <v>15.2</v>
      </c>
      <c r="L9" s="21"/>
      <c r="M9" s="21"/>
    </row>
    <row r="10" customFormat="false" ht="15" hidden="false" customHeight="false" outlineLevel="0" collapsed="false">
      <c r="A10" s="12" t="s">
        <v>164</v>
      </c>
      <c r="B10" s="21" t="n">
        <v>817</v>
      </c>
      <c r="C10" s="21" t="n">
        <v>503</v>
      </c>
      <c r="D10" s="21" t="n">
        <v>102</v>
      </c>
      <c r="E10" s="21" t="n">
        <v>36</v>
      </c>
      <c r="F10" s="21" t="n">
        <v>52</v>
      </c>
      <c r="G10" s="13" t="n">
        <f aca="false">IF(B10="","",B10-SUM(C10:F10))</f>
        <v>124</v>
      </c>
      <c r="H10" s="48" t="n">
        <f aca="false">IFERROR(公演データ!$J$11,"")</f>
        <v>42</v>
      </c>
      <c r="I10" s="15" t="n">
        <f aca="false">IFERROR(H10/B10,"")</f>
        <v>0.0514075887392901</v>
      </c>
      <c r="J10" s="13" t="n">
        <f aca="false">IFERROR(ROUND($M$1*B10+$N$1,1),"")</f>
        <v>38.3</v>
      </c>
      <c r="K10" s="13" t="n">
        <f aca="false">IFERROR(H10-J10,"")</f>
        <v>3.7</v>
      </c>
      <c r="L10" s="21"/>
      <c r="M10" s="21"/>
    </row>
    <row r="11" customFormat="false" ht="15" hidden="false" customHeight="false" outlineLevel="0" collapsed="false">
      <c r="A11" s="12" t="s">
        <v>168</v>
      </c>
      <c r="B11" s="21" t="n">
        <v>452</v>
      </c>
      <c r="C11" s="21" t="n">
        <v>270</v>
      </c>
      <c r="D11" s="21" t="n">
        <v>43</v>
      </c>
      <c r="E11" s="21" t="n">
        <v>19</v>
      </c>
      <c r="F11" s="21" t="n">
        <v>10</v>
      </c>
      <c r="G11" s="13" t="n">
        <f aca="false">IF(B11="","",B11-SUM(C11:F11))</f>
        <v>110</v>
      </c>
      <c r="H11" s="48" t="n">
        <f aca="false">IFERROR(公演データ!$J$12,"")</f>
        <v>32</v>
      </c>
      <c r="I11" s="15" t="n">
        <f aca="false">IFERROR(H11/B11,"")</f>
        <v>0.0707964601769912</v>
      </c>
      <c r="J11" s="13" t="n">
        <f aca="false">IFERROR(ROUND($M$1*B11+$N$1,1),"")</f>
        <v>22.3</v>
      </c>
      <c r="K11" s="13" t="n">
        <f aca="false">IFERROR(H11-J11,"")</f>
        <v>9.7</v>
      </c>
      <c r="L11" s="21"/>
      <c r="M11" s="21"/>
    </row>
    <row r="12" customFormat="false" ht="15" hidden="false" customHeight="false" outlineLevel="0" collapsed="false">
      <c r="A12" s="12" t="s">
        <v>172</v>
      </c>
      <c r="B12" s="21" t="n">
        <v>744</v>
      </c>
      <c r="C12" s="21" t="n">
        <v>368</v>
      </c>
      <c r="D12" s="21" t="n">
        <v>106</v>
      </c>
      <c r="E12" s="21" t="n">
        <v>11</v>
      </c>
      <c r="F12" s="21" t="n">
        <v>74</v>
      </c>
      <c r="G12" s="13" t="n">
        <f aca="false">IF(B12="","",B12-SUM(C12:F12))</f>
        <v>185</v>
      </c>
      <c r="H12" s="48" t="n">
        <f aca="false">IFERROR(公演データ!$J$13,"")</f>
        <v>33</v>
      </c>
      <c r="I12" s="15" t="n">
        <f aca="false">IFERROR(H12/B12,"")</f>
        <v>0.0443548387096774</v>
      </c>
      <c r="J12" s="13" t="n">
        <f aca="false">IFERROR(ROUND($M$1*B12+$N$1,1),"")</f>
        <v>35.1</v>
      </c>
      <c r="K12" s="13" t="n">
        <f aca="false">IFERROR(H12-J12,"")</f>
        <v>-2.1</v>
      </c>
      <c r="L12" s="21"/>
      <c r="M12" s="21"/>
    </row>
    <row r="13" customFormat="false" ht="15" hidden="false" customHeight="false" outlineLevel="0" collapsed="false">
      <c r="A13" s="12" t="s">
        <v>175</v>
      </c>
      <c r="B13" s="21" t="n">
        <v>355</v>
      </c>
      <c r="C13" s="21" t="n">
        <v>176</v>
      </c>
      <c r="D13" s="21" t="n">
        <v>63</v>
      </c>
      <c r="E13" s="21" t="n">
        <v>3</v>
      </c>
      <c r="F13" s="21" t="n">
        <v>15</v>
      </c>
      <c r="G13" s="13" t="n">
        <f aca="false">IF(B13="","",B13-SUM(C13:F13))</f>
        <v>98</v>
      </c>
      <c r="H13" s="48" t="n">
        <f aca="false">IFERROR(公演データ!$J$14,"")</f>
        <v>14</v>
      </c>
      <c r="I13" s="15" t="n">
        <f aca="false">IFERROR(H13/B13,"")</f>
        <v>0.0394366197183099</v>
      </c>
      <c r="J13" s="13" t="n">
        <f aca="false">IFERROR(ROUND($M$1*B13+$N$1,1),"")</f>
        <v>18.1</v>
      </c>
      <c r="K13" s="13" t="n">
        <f aca="false">IFERROR(H13-J13,"")</f>
        <v>-4.1</v>
      </c>
      <c r="L13" s="21"/>
      <c r="M13" s="21"/>
    </row>
    <row r="14" customFormat="false" ht="15" hidden="false" customHeight="false" outlineLevel="0" collapsed="false">
      <c r="A14" s="12" t="s">
        <v>178</v>
      </c>
      <c r="B14" s="21" t="n">
        <v>427</v>
      </c>
      <c r="C14" s="21" t="n">
        <v>283</v>
      </c>
      <c r="D14" s="21" t="n">
        <v>63</v>
      </c>
      <c r="E14" s="21" t="n">
        <v>0</v>
      </c>
      <c r="F14" s="21" t="n">
        <v>3</v>
      </c>
      <c r="G14" s="13" t="n">
        <f aca="false">IF(B14="","",B14-SUM(C14:F14))</f>
        <v>78</v>
      </c>
      <c r="H14" s="48" t="n">
        <f aca="false">IFERROR(公演データ!$J$15,"")</f>
        <v>22</v>
      </c>
      <c r="I14" s="15" t="n">
        <f aca="false">IFERROR(H14/B14,"")</f>
        <v>0.0515222482435597</v>
      </c>
      <c r="J14" s="13" t="n">
        <f aca="false">IFERROR(ROUND($M$1*B14+$N$1,1),"")</f>
        <v>21.2</v>
      </c>
      <c r="K14" s="13" t="n">
        <f aca="false">IFERROR(H14-J14,"")</f>
        <v>0.800000000000001</v>
      </c>
      <c r="L14" s="21"/>
      <c r="M14" s="21"/>
    </row>
    <row r="15" customFormat="false" ht="15" hidden="false" customHeight="false" outlineLevel="0" collapsed="false">
      <c r="A15" s="12" t="s">
        <v>181</v>
      </c>
      <c r="B15" s="21" t="n">
        <v>419</v>
      </c>
      <c r="C15" s="21" t="n">
        <v>222</v>
      </c>
      <c r="D15" s="21" t="n">
        <v>65</v>
      </c>
      <c r="E15" s="21" t="n">
        <v>16</v>
      </c>
      <c r="F15" s="21" t="n">
        <v>21</v>
      </c>
      <c r="G15" s="13" t="n">
        <f aca="false">IF(B15="","",B15-SUM(C15:F15))</f>
        <v>95</v>
      </c>
      <c r="H15" s="48" t="n">
        <f aca="false">IFERROR(公演データ!$J$16,"")</f>
        <v>16</v>
      </c>
      <c r="I15" s="15" t="n">
        <f aca="false">IFERROR(H15/B15,"")</f>
        <v>0.0381861575178998</v>
      </c>
      <c r="J15" s="13" t="n">
        <f aca="false">IFERROR(ROUND($M$1*B15+$N$1,1),"")</f>
        <v>20.9</v>
      </c>
      <c r="K15" s="13" t="n">
        <f aca="false">IFERROR(H15-J15,"")</f>
        <v>-4.9</v>
      </c>
      <c r="L15" s="21"/>
      <c r="M15" s="21"/>
    </row>
    <row r="16" customFormat="false" ht="15" hidden="false" customHeight="false" outlineLevel="0" collapsed="false">
      <c r="A16" s="12" t="s">
        <v>183</v>
      </c>
      <c r="B16" s="21" t="n">
        <v>598</v>
      </c>
      <c r="C16" s="21" t="n">
        <v>337</v>
      </c>
      <c r="D16" s="21" t="n">
        <v>79</v>
      </c>
      <c r="E16" s="21" t="n">
        <v>8</v>
      </c>
      <c r="F16" s="21" t="n">
        <v>16</v>
      </c>
      <c r="G16" s="13" t="n">
        <f aca="false">IF(B16="","",B16-SUM(C16:F16))</f>
        <v>158</v>
      </c>
      <c r="H16" s="48" t="n">
        <f aca="false">IFERROR(公演データ!$J$17,"")</f>
        <v>38</v>
      </c>
      <c r="I16" s="15" t="n">
        <f aca="false">IFERROR(H16/B16,"")</f>
        <v>0.0635451505016722</v>
      </c>
      <c r="J16" s="13" t="n">
        <f aca="false">IFERROR(ROUND($M$1*B16+$N$1,1),"")</f>
        <v>28.7</v>
      </c>
      <c r="K16" s="13" t="n">
        <f aca="false">IFERROR(H16-J16,"")</f>
        <v>9.3</v>
      </c>
      <c r="L16" s="21"/>
      <c r="M16" s="21"/>
    </row>
    <row r="17" customFormat="false" ht="15" hidden="false" customHeight="false" outlineLevel="0" collapsed="false">
      <c r="A17" s="12" t="s">
        <v>185</v>
      </c>
      <c r="B17" s="21" t="n">
        <v>270</v>
      </c>
      <c r="C17" s="21" t="n">
        <v>150</v>
      </c>
      <c r="D17" s="21" t="n">
        <v>45</v>
      </c>
      <c r="E17" s="21" t="n">
        <v>8</v>
      </c>
      <c r="F17" s="21" t="n">
        <v>7</v>
      </c>
      <c r="G17" s="13" t="n">
        <f aca="false">IF(B17="","",B17-SUM(C17:F17))</f>
        <v>60</v>
      </c>
      <c r="H17" s="48" t="n">
        <f aca="false">IFERROR(公演データ!$J$18,"")</f>
        <v>13</v>
      </c>
      <c r="I17" s="15" t="n">
        <f aca="false">IFERROR(H17/B17,"")</f>
        <v>0.0481481481481482</v>
      </c>
      <c r="J17" s="13" t="n">
        <f aca="false">IFERROR(ROUND($M$1*B17+$N$1,1),"")</f>
        <v>14.3</v>
      </c>
      <c r="K17" s="13" t="n">
        <f aca="false">IFERROR(H17-J17,"")</f>
        <v>-1.3</v>
      </c>
      <c r="L17" s="21"/>
      <c r="M17" s="21"/>
    </row>
    <row r="18" customFormat="false" ht="15" hidden="false" customHeight="false" outlineLevel="0" collapsed="false">
      <c r="A18" s="12" t="s">
        <v>187</v>
      </c>
      <c r="B18" s="21" t="n">
        <v>424</v>
      </c>
      <c r="C18" s="21" t="n">
        <v>169</v>
      </c>
      <c r="D18" s="21" t="n">
        <v>93</v>
      </c>
      <c r="E18" s="21" t="n">
        <v>2</v>
      </c>
      <c r="F18" s="21" t="n">
        <v>16</v>
      </c>
      <c r="G18" s="13" t="n">
        <f aca="false">IF(B18="","",B18-SUM(C18:F18))</f>
        <v>144</v>
      </c>
      <c r="H18" s="48" t="n">
        <f aca="false">IFERROR(公演データ!$J$19,"")</f>
        <v>32</v>
      </c>
      <c r="I18" s="15" t="n">
        <f aca="false">IFERROR(H18/B18,"")</f>
        <v>0.0754716981132075</v>
      </c>
      <c r="J18" s="13" t="n">
        <f aca="false">IFERROR(ROUND($M$1*B18+$N$1,1),"")</f>
        <v>21.1</v>
      </c>
      <c r="K18" s="13" t="n">
        <f aca="false">IFERROR(H18-J18,"")</f>
        <v>10.9</v>
      </c>
      <c r="L18" s="21"/>
      <c r="M18" s="21"/>
    </row>
    <row r="19" customFormat="false" ht="15" hidden="false" customHeight="false" outlineLevel="0" collapsed="false">
      <c r="A19" s="12" t="s">
        <v>189</v>
      </c>
      <c r="B19" s="21" t="n">
        <v>161</v>
      </c>
      <c r="C19" s="21" t="n">
        <v>92</v>
      </c>
      <c r="D19" s="21" t="n">
        <v>19</v>
      </c>
      <c r="E19" s="21" t="n">
        <v>0</v>
      </c>
      <c r="F19" s="21" t="n">
        <v>5</v>
      </c>
      <c r="G19" s="13" t="n">
        <f aca="false">IF(B19="","",B19-SUM(C19:F19))</f>
        <v>45</v>
      </c>
      <c r="H19" s="48" t="n">
        <f aca="false">IFERROR(公演データ!$J$20,"")</f>
        <v>11</v>
      </c>
      <c r="I19" s="15" t="n">
        <f aca="false">IFERROR(H19/B19,"")</f>
        <v>0.0683229813664596</v>
      </c>
      <c r="J19" s="13" t="n">
        <f aca="false">IFERROR(ROUND($M$1*B19+$N$1,1),"")</f>
        <v>9.5</v>
      </c>
      <c r="K19" s="13" t="n">
        <f aca="false">IFERROR(H19-J19,"")</f>
        <v>1.5</v>
      </c>
      <c r="L19" s="21"/>
      <c r="M19" s="21"/>
    </row>
    <row r="20" customFormat="false" ht="15" hidden="false" customHeight="false" outlineLevel="0" collapsed="false">
      <c r="A20" s="12" t="s">
        <v>191</v>
      </c>
      <c r="B20" s="21" t="n">
        <v>317</v>
      </c>
      <c r="C20" s="21" t="n">
        <v>166</v>
      </c>
      <c r="D20" s="21" t="n">
        <v>40</v>
      </c>
      <c r="E20" s="21" t="n">
        <v>3</v>
      </c>
      <c r="F20" s="21" t="n">
        <v>15</v>
      </c>
      <c r="G20" s="13" t="n">
        <f aca="false">IF(B20="","",B20-SUM(C20:F20))</f>
        <v>93</v>
      </c>
      <c r="H20" s="48" t="n">
        <f aca="false">IFERROR(公演データ!$J$21,"")</f>
        <v>21</v>
      </c>
      <c r="I20" s="15" t="n">
        <f aca="false">IFERROR(H20/B20,"")</f>
        <v>0.0662460567823344</v>
      </c>
      <c r="J20" s="13" t="n">
        <f aca="false">IFERROR(ROUND($M$1*B20+$N$1,1),"")</f>
        <v>16.4</v>
      </c>
      <c r="K20" s="13" t="n">
        <f aca="false">IFERROR(H20-J20,"")</f>
        <v>4.6</v>
      </c>
      <c r="L20" s="21"/>
      <c r="M20" s="21"/>
    </row>
    <row r="21" customFormat="false" ht="15" hidden="false" customHeight="false" outlineLevel="0" collapsed="false">
      <c r="A21" s="12" t="s">
        <v>193</v>
      </c>
      <c r="B21" s="21" t="n">
        <v>333</v>
      </c>
      <c r="C21" s="21" t="n">
        <v>188</v>
      </c>
      <c r="D21" s="21" t="n">
        <v>48</v>
      </c>
      <c r="E21" s="21" t="n">
        <v>3</v>
      </c>
      <c r="F21" s="21" t="n">
        <v>7</v>
      </c>
      <c r="G21" s="13" t="n">
        <f aca="false">IF(B21="","",B21-SUM(C21:F21))</f>
        <v>87</v>
      </c>
      <c r="H21" s="48" t="n">
        <f aca="false">IFERROR(公演データ!$J$22,"")</f>
        <v>19</v>
      </c>
      <c r="I21" s="15" t="n">
        <f aca="false">IFERROR(H21/B21,"")</f>
        <v>0.0570570570570571</v>
      </c>
      <c r="J21" s="13" t="n">
        <f aca="false">IFERROR(ROUND($M$1*B21+$N$1,1),"")</f>
        <v>17.1</v>
      </c>
      <c r="K21" s="13" t="n">
        <f aca="false">IFERROR(H21-J21,"")</f>
        <v>1.9</v>
      </c>
      <c r="L21" s="21"/>
      <c r="M21" s="21"/>
    </row>
    <row r="22" customFormat="false" ht="15" hidden="false" customHeight="false" outlineLevel="0" collapsed="false">
      <c r="A22" s="12" t="s">
        <v>195</v>
      </c>
      <c r="B22" s="21" t="n">
        <v>1009</v>
      </c>
      <c r="C22" s="21" t="n">
        <v>466</v>
      </c>
      <c r="D22" s="21" t="n">
        <v>147</v>
      </c>
      <c r="E22" s="21" t="n">
        <v>75</v>
      </c>
      <c r="F22" s="21" t="n">
        <v>68</v>
      </c>
      <c r="G22" s="13" t="n">
        <f aca="false">IF(B22="","",B22-SUM(C22:F22))</f>
        <v>253</v>
      </c>
      <c r="H22" s="48" t="n">
        <f aca="false">IFERROR(公演データ!$J$23,"")</f>
        <v>54</v>
      </c>
      <c r="I22" s="15" t="n">
        <f aca="false">IFERROR(H22/B22,"")</f>
        <v>0.0535183349851338</v>
      </c>
      <c r="J22" s="13" t="n">
        <f aca="false">IFERROR(ROUND($M$1*B22+$N$1,1),"")</f>
        <v>46.7</v>
      </c>
      <c r="K22" s="13" t="n">
        <f aca="false">IFERROR(H22-J22,"")</f>
        <v>7.3</v>
      </c>
      <c r="L22" s="21"/>
      <c r="M22" s="21"/>
    </row>
    <row r="23" customFormat="false" ht="15" hidden="false" customHeight="false" outlineLevel="0" collapsed="false">
      <c r="A23" s="12" t="s">
        <v>198</v>
      </c>
      <c r="B23" s="21" t="n">
        <v>299</v>
      </c>
      <c r="C23" s="21" t="n">
        <v>108</v>
      </c>
      <c r="D23" s="21" t="n">
        <v>42</v>
      </c>
      <c r="E23" s="21" t="n">
        <v>33</v>
      </c>
      <c r="F23" s="21" t="n">
        <v>49</v>
      </c>
      <c r="G23" s="13" t="n">
        <f aca="false">IF(B23="","",B23-SUM(C23:F23))</f>
        <v>67</v>
      </c>
      <c r="H23" s="48" t="n">
        <f aca="false">IFERROR(公演データ!$J$24,"")</f>
        <v>14</v>
      </c>
      <c r="I23" s="15" t="n">
        <f aca="false">IFERROR(H23/B23,"")</f>
        <v>0.0468227424749164</v>
      </c>
      <c r="J23" s="13" t="n">
        <f aca="false">IFERROR(ROUND($M$1*B23+$N$1,1),"")</f>
        <v>15.6</v>
      </c>
      <c r="K23" s="13" t="n">
        <f aca="false">IFERROR(H23-J23,"")</f>
        <v>-1.6</v>
      </c>
      <c r="L23" s="21"/>
      <c r="M23" s="21"/>
    </row>
    <row r="24" customFormat="false" ht="15" hidden="false" customHeight="false" outlineLevel="0" collapsed="false">
      <c r="A24" s="12" t="s">
        <v>201</v>
      </c>
      <c r="B24" s="21" t="n">
        <v>875</v>
      </c>
      <c r="C24" s="21" t="n">
        <v>326</v>
      </c>
      <c r="D24" s="21" t="n">
        <v>109</v>
      </c>
      <c r="E24" s="21" t="n">
        <v>130</v>
      </c>
      <c r="F24" s="21" t="n">
        <v>106</v>
      </c>
      <c r="G24" s="13" t="n">
        <f aca="false">IF(B24="","",B24-SUM(C24:F24))</f>
        <v>204</v>
      </c>
      <c r="H24" s="48" t="n">
        <f aca="false">IFERROR(公演データ!$J$25,"")</f>
        <v>27</v>
      </c>
      <c r="I24" s="15" t="n">
        <f aca="false">IFERROR(H24/B24,"")</f>
        <v>0.0308571428571429</v>
      </c>
      <c r="J24" s="13" t="n">
        <f aca="false">IFERROR(ROUND($M$1*B24+$N$1,1),"")</f>
        <v>40.9</v>
      </c>
      <c r="K24" s="13" t="n">
        <f aca="false">IFERROR(H24-J24,"")</f>
        <v>-13.9</v>
      </c>
      <c r="L24" s="21"/>
      <c r="M24" s="21"/>
    </row>
    <row r="25" customFormat="false" ht="15" hidden="false" customHeight="false" outlineLevel="0" collapsed="false">
      <c r="A25" s="12" t="s">
        <v>204</v>
      </c>
      <c r="B25" s="21" t="n">
        <v>383</v>
      </c>
      <c r="C25" s="21" t="n">
        <v>202</v>
      </c>
      <c r="D25" s="21" t="n">
        <v>60</v>
      </c>
      <c r="E25" s="21" t="n">
        <v>6</v>
      </c>
      <c r="F25" s="21" t="n">
        <v>40</v>
      </c>
      <c r="G25" s="13" t="n">
        <f aca="false">IF(B25="","",B25-SUM(C25:F25))</f>
        <v>75</v>
      </c>
      <c r="H25" s="48" t="n">
        <f aca="false">IFERROR(公演データ!$J$26,"")</f>
        <v>18</v>
      </c>
      <c r="I25" s="15" t="n">
        <f aca="false">IFERROR(H25/B25,"")</f>
        <v>0.0469973890339426</v>
      </c>
      <c r="J25" s="13" t="n">
        <f aca="false">IFERROR(ROUND($M$1*B25+$N$1,1),"")</f>
        <v>19.3</v>
      </c>
      <c r="K25" s="13" t="n">
        <f aca="false">IFERROR(H25-J25,"")</f>
        <v>-1.3</v>
      </c>
      <c r="L25" s="21"/>
      <c r="M25" s="21"/>
    </row>
    <row r="26" customFormat="false" ht="15" hidden="false" customHeight="false" outlineLevel="0" collapsed="false">
      <c r="A26" s="12" t="s">
        <v>207</v>
      </c>
      <c r="B26" s="21" t="n">
        <v>400</v>
      </c>
      <c r="C26" s="21" t="n">
        <v>170</v>
      </c>
      <c r="D26" s="21" t="n">
        <v>65</v>
      </c>
      <c r="E26" s="21" t="n">
        <v>48</v>
      </c>
      <c r="F26" s="21" t="n">
        <v>15</v>
      </c>
      <c r="G26" s="13" t="n">
        <f aca="false">IF(B26="","",B26-SUM(C26:F26))</f>
        <v>102</v>
      </c>
      <c r="H26" s="48" t="n">
        <f aca="false">IFERROR(公演データ!$J$27,"")</f>
        <v>27</v>
      </c>
      <c r="I26" s="15" t="n">
        <f aca="false">IFERROR(H26/B26,"")</f>
        <v>0.0675</v>
      </c>
      <c r="J26" s="13" t="n">
        <f aca="false">IFERROR(ROUND($M$1*B26+$N$1,1),"")</f>
        <v>20</v>
      </c>
      <c r="K26" s="13" t="n">
        <f aca="false">IFERROR(H26-J26,"")</f>
        <v>7</v>
      </c>
      <c r="L26" s="21"/>
      <c r="M26" s="21"/>
    </row>
    <row r="27" customFormat="false" ht="15" hidden="false" customHeight="false" outlineLevel="0" collapsed="false">
      <c r="A27" s="12" t="s">
        <v>210</v>
      </c>
      <c r="B27" s="21" t="n">
        <v>656</v>
      </c>
      <c r="C27" s="21" t="n">
        <v>248</v>
      </c>
      <c r="D27" s="21" t="n">
        <v>83</v>
      </c>
      <c r="E27" s="21" t="n">
        <v>54</v>
      </c>
      <c r="F27" s="21" t="n">
        <v>44</v>
      </c>
      <c r="G27" s="13" t="n">
        <f aca="false">IF(B27="","",B27-SUM(C27:F27))</f>
        <v>227</v>
      </c>
      <c r="H27" s="48" t="n">
        <f aca="false">IFERROR(公演データ!$J$28,"")</f>
        <v>34</v>
      </c>
      <c r="I27" s="15" t="n">
        <f aca="false">IFERROR(H27/B27,"")</f>
        <v>0.0518292682926829</v>
      </c>
      <c r="J27" s="13" t="n">
        <f aca="false">IFERROR(ROUND($M$1*B27+$N$1,1),"")</f>
        <v>31.3</v>
      </c>
      <c r="K27" s="13" t="n">
        <f aca="false">IFERROR(H27-J27,"")</f>
        <v>2.7</v>
      </c>
      <c r="L27" s="21"/>
      <c r="M27" s="21"/>
    </row>
    <row r="28" customFormat="false" ht="15" hidden="false" customHeight="false" outlineLevel="0" collapsed="false">
      <c r="A28" s="12" t="s">
        <v>213</v>
      </c>
      <c r="B28" s="21" t="n">
        <v>612</v>
      </c>
      <c r="C28" s="21" t="n">
        <v>189</v>
      </c>
      <c r="D28" s="21" t="n">
        <v>119</v>
      </c>
      <c r="E28" s="21" t="n">
        <v>81</v>
      </c>
      <c r="F28" s="21" t="n">
        <v>39</v>
      </c>
      <c r="G28" s="13" t="n">
        <f aca="false">IF(B28="","",B28-SUM(C28:F28))</f>
        <v>184</v>
      </c>
      <c r="H28" s="48" t="n">
        <f aca="false">IFERROR(公演データ!$J$29,"")</f>
        <v>20</v>
      </c>
      <c r="I28" s="15" t="n">
        <f aca="false">IFERROR(H28/B28,"")</f>
        <v>0.0326797385620915</v>
      </c>
      <c r="J28" s="13" t="n">
        <f aca="false">IFERROR(ROUND($M$1*B28+$N$1,1),"")</f>
        <v>29.3</v>
      </c>
      <c r="K28" s="13" t="n">
        <f aca="false">IFERROR(H28-J28,"")</f>
        <v>-9.3</v>
      </c>
      <c r="L28" s="21"/>
      <c r="M28" s="21"/>
    </row>
    <row r="29" customFormat="false" ht="15" hidden="false" customHeight="false" outlineLevel="0" collapsed="false">
      <c r="A29" s="12" t="s">
        <v>217</v>
      </c>
      <c r="B29" s="21" t="n">
        <v>804</v>
      </c>
      <c r="C29" s="21" t="n">
        <v>250</v>
      </c>
      <c r="D29" s="21" t="n">
        <v>175</v>
      </c>
      <c r="E29" s="21" t="n">
        <v>44</v>
      </c>
      <c r="F29" s="21" t="n">
        <v>12</v>
      </c>
      <c r="G29" s="13" t="n">
        <f aca="false">IF(B29="","",B29-SUM(C29:F29))</f>
        <v>323</v>
      </c>
      <c r="H29" s="48" t="n">
        <f aca="false">IFERROR(公演データ!$J$30,"")</f>
        <v>35</v>
      </c>
      <c r="I29" s="15" t="n">
        <f aca="false">IFERROR(H29/B29,"")</f>
        <v>0.0435323383084577</v>
      </c>
      <c r="J29" s="13" t="n">
        <f aca="false">IFERROR(ROUND($M$1*B29+$N$1,1),"")</f>
        <v>37.7</v>
      </c>
      <c r="K29" s="13" t="n">
        <f aca="false">IFERROR(H29-J29,"")</f>
        <v>-2.7</v>
      </c>
      <c r="L29" s="21"/>
      <c r="M29" s="21"/>
    </row>
    <row r="30" customFormat="false" ht="15" hidden="false" customHeight="false" outlineLevel="0" collapsed="false">
      <c r="A30" s="12" t="s">
        <v>220</v>
      </c>
      <c r="B30" s="21" t="n">
        <v>591</v>
      </c>
      <c r="C30" s="21" t="n">
        <v>342</v>
      </c>
      <c r="D30" s="21" t="n">
        <v>67</v>
      </c>
      <c r="E30" s="21" t="n">
        <v>17</v>
      </c>
      <c r="F30" s="21" t="n">
        <v>39</v>
      </c>
      <c r="G30" s="13" t="n">
        <f aca="false">IF(B30="","",B30-SUM(C30:F30))</f>
        <v>126</v>
      </c>
      <c r="H30" s="48" t="n">
        <f aca="false">IFERROR(公演データ!$J$31,"")</f>
        <v>33</v>
      </c>
      <c r="I30" s="15" t="n">
        <f aca="false">IFERROR(H30/B30,"")</f>
        <v>0.0558375634517767</v>
      </c>
      <c r="J30" s="13" t="n">
        <f aca="false">IFERROR(ROUND($M$1*B30+$N$1,1),"")</f>
        <v>28.4</v>
      </c>
      <c r="K30" s="13" t="n">
        <f aca="false">IFERROR(H30-J30,"")</f>
        <v>4.6</v>
      </c>
      <c r="L30" s="21"/>
      <c r="M30" s="21"/>
    </row>
    <row r="31" customFormat="false" ht="15" hidden="false" customHeight="false" outlineLevel="0" collapsed="false">
      <c r="A31" s="12" t="s">
        <v>224</v>
      </c>
      <c r="B31" s="21" t="n">
        <v>471</v>
      </c>
      <c r="C31" s="21" t="n">
        <v>193</v>
      </c>
      <c r="D31" s="21" t="n">
        <v>81</v>
      </c>
      <c r="E31" s="21" t="n">
        <v>12</v>
      </c>
      <c r="F31" s="21" t="n">
        <v>36</v>
      </c>
      <c r="G31" s="13" t="n">
        <f aca="false">IF(B31="","",B31-SUM(C31:F31))</f>
        <v>149</v>
      </c>
      <c r="H31" s="48" t="n">
        <f aca="false">IFERROR(公演データ!$J$32,"")</f>
        <v>29</v>
      </c>
      <c r="I31" s="15" t="n">
        <f aca="false">IFERROR(H31/B31,"")</f>
        <v>0.0615711252653928</v>
      </c>
      <c r="J31" s="13" t="n">
        <f aca="false">IFERROR(ROUND($M$1*B31+$N$1,1),"")</f>
        <v>23.1</v>
      </c>
      <c r="K31" s="13" t="n">
        <f aca="false">IFERROR(H31-J31,"")</f>
        <v>5.9</v>
      </c>
      <c r="L31" s="21"/>
      <c r="M31" s="21"/>
    </row>
    <row r="32" customFormat="false" ht="15" hidden="false" customHeight="false" outlineLevel="0" collapsed="false">
      <c r="A32" s="12" t="s">
        <v>227</v>
      </c>
      <c r="B32" s="21" t="n">
        <v>1002</v>
      </c>
      <c r="C32" s="21" t="n">
        <v>375</v>
      </c>
      <c r="D32" s="21" t="n">
        <v>286</v>
      </c>
      <c r="E32" s="21" t="n">
        <v>22</v>
      </c>
      <c r="F32" s="21" t="n">
        <v>65</v>
      </c>
      <c r="G32" s="13" t="n">
        <f aca="false">IF(B32="","",B32-SUM(C32:F32))</f>
        <v>254</v>
      </c>
      <c r="H32" s="48" t="n">
        <f aca="false">IFERROR(公演データ!$J$33,"")</f>
        <v>44</v>
      </c>
      <c r="I32" s="15" t="n">
        <f aca="false">IFERROR(H32/B32,"")</f>
        <v>0.0439121756487026</v>
      </c>
      <c r="J32" s="13" t="n">
        <f aca="false">IFERROR(ROUND($M$1*B32+$N$1,1),"")</f>
        <v>46.4</v>
      </c>
      <c r="K32" s="13" t="n">
        <f aca="false">IFERROR(H32-J32,"")</f>
        <v>-2.4</v>
      </c>
      <c r="L32" s="21"/>
      <c r="M32" s="21"/>
    </row>
    <row r="33" customFormat="false" ht="15" hidden="false" customHeight="false" outlineLevel="0" collapsed="false">
      <c r="A33" s="12" t="s">
        <v>229</v>
      </c>
      <c r="B33" s="21" t="n">
        <v>499</v>
      </c>
      <c r="C33" s="21" t="n">
        <v>145</v>
      </c>
      <c r="D33" s="21" t="n">
        <v>110</v>
      </c>
      <c r="E33" s="21" t="n">
        <v>21</v>
      </c>
      <c r="F33" s="21" t="n">
        <v>26</v>
      </c>
      <c r="G33" s="13" t="n">
        <f aca="false">IF(B33="","",B33-SUM(C33:F33))</f>
        <v>197</v>
      </c>
      <c r="H33" s="48" t="n">
        <f aca="false">IFERROR(公演データ!$J$34,"")</f>
        <v>21</v>
      </c>
      <c r="I33" s="15" t="n">
        <f aca="false">IFERROR(H33/B33,"")</f>
        <v>0.0420841683366734</v>
      </c>
      <c r="J33" s="13" t="n">
        <f aca="false">IFERROR(ROUND($M$1*B33+$N$1,1),"")</f>
        <v>24.4</v>
      </c>
      <c r="K33" s="13" t="n">
        <f aca="false">IFERROR(H33-J33,"")</f>
        <v>-3.4</v>
      </c>
      <c r="L33" s="21"/>
      <c r="M33" s="21"/>
    </row>
    <row r="34" customFormat="false" ht="15" hidden="false" customHeight="false" outlineLevel="0" collapsed="false">
      <c r="A34" s="12" t="s">
        <v>236</v>
      </c>
      <c r="B34" s="21" t="n">
        <v>1399</v>
      </c>
      <c r="C34" s="21" t="n">
        <v>738</v>
      </c>
      <c r="D34" s="21" t="n">
        <v>222</v>
      </c>
      <c r="E34" s="21" t="n">
        <v>12</v>
      </c>
      <c r="F34" s="21" t="n">
        <v>42</v>
      </c>
      <c r="G34" s="13" t="n">
        <f aca="false">IF(B34="","",B34-SUM(C34:F34))</f>
        <v>385</v>
      </c>
      <c r="H34" s="48" t="n">
        <f aca="false">IFERROR(公演データ!$J$36,"")</f>
        <v>64</v>
      </c>
      <c r="I34" s="15" t="n">
        <f aca="false">IFERROR(H34/B34,"")</f>
        <v>0.045746962115797</v>
      </c>
      <c r="J34" s="13" t="n">
        <f aca="false">IFERROR(ROUND($M$1*B34+$N$1,1),"")</f>
        <v>63.8</v>
      </c>
      <c r="K34" s="13" t="n">
        <f aca="false">IFERROR(H34-J34,"")</f>
        <v>0.200000000000003</v>
      </c>
      <c r="L34" s="21" t="n">
        <v>23</v>
      </c>
      <c r="M34" s="21" t="n">
        <v>228</v>
      </c>
    </row>
    <row r="35" customFormat="false" ht="15" hidden="false" customHeight="false" outlineLevel="0" collapsed="false">
      <c r="A35" s="12" t="s">
        <v>240</v>
      </c>
      <c r="B35" s="21" t="n">
        <v>625</v>
      </c>
      <c r="C35" s="21" t="n">
        <v>288</v>
      </c>
      <c r="D35" s="21" t="n">
        <v>97</v>
      </c>
      <c r="E35" s="21" t="n">
        <v>92</v>
      </c>
      <c r="F35" s="21" t="n">
        <v>6</v>
      </c>
      <c r="G35" s="13" t="n">
        <f aca="false">IF(B35="","",B35-SUM(C35:F35))</f>
        <v>142</v>
      </c>
      <c r="H35" s="48" t="n">
        <f aca="false">IFERROR(公演データ!$J$37,"")</f>
        <v>28</v>
      </c>
      <c r="I35" s="15" t="n">
        <f aca="false">IFERROR(H35/B35,"")</f>
        <v>0.0448</v>
      </c>
      <c r="J35" s="13" t="n">
        <f aca="false">IFERROR(ROUND($M$1*B35+$N$1,1),"")</f>
        <v>29.9</v>
      </c>
      <c r="K35" s="13" t="n">
        <f aca="false">IFERROR(H35-J35,"")</f>
        <v>-1.9</v>
      </c>
      <c r="L35" s="21" t="n">
        <v>17</v>
      </c>
      <c r="M35" s="21" t="n">
        <v>32</v>
      </c>
    </row>
    <row r="36" customFormat="false" ht="15" hidden="false" customHeight="false" outlineLevel="0" collapsed="false">
      <c r="A36" s="12" t="s">
        <v>243</v>
      </c>
      <c r="B36" s="21" t="n">
        <v>426</v>
      </c>
      <c r="C36" s="21" t="n">
        <v>125</v>
      </c>
      <c r="D36" s="21" t="n">
        <v>116</v>
      </c>
      <c r="E36" s="21" t="n">
        <v>47</v>
      </c>
      <c r="F36" s="21" t="n">
        <v>33</v>
      </c>
      <c r="G36" s="13" t="n">
        <f aca="false">IF(B36="","",B36-SUM(C36:F36))</f>
        <v>105</v>
      </c>
      <c r="H36" s="48" t="n">
        <f aca="false">IFERROR(公演データ!$J$38,"")</f>
        <v>19</v>
      </c>
      <c r="I36" s="15" t="n">
        <f aca="false">IFERROR(H36/B36,"")</f>
        <v>0.0446009389671362</v>
      </c>
      <c r="J36" s="13" t="n">
        <f aca="false">IFERROR(ROUND($M$1*B36+$N$1,1),"")</f>
        <v>21.2</v>
      </c>
      <c r="K36" s="13" t="n">
        <f aca="false">IFERROR(H36-J36,"")</f>
        <v>-2.2</v>
      </c>
      <c r="L36" s="21" t="n">
        <v>29</v>
      </c>
      <c r="M36" s="21" t="n">
        <v>32</v>
      </c>
    </row>
    <row r="37" customFormat="false" ht="15" hidden="false" customHeight="false" outlineLevel="0" collapsed="false">
      <c r="A37" s="12" t="s">
        <v>246</v>
      </c>
      <c r="B37" s="21" t="n">
        <v>896</v>
      </c>
      <c r="C37" s="21" t="n">
        <v>292</v>
      </c>
      <c r="D37" s="21" t="n">
        <v>211</v>
      </c>
      <c r="E37" s="21" t="n">
        <v>111</v>
      </c>
      <c r="F37" s="21" t="n">
        <v>25</v>
      </c>
      <c r="G37" s="13" t="n">
        <f aca="false">IF(B37="","",B37-SUM(C37:F37))</f>
        <v>257</v>
      </c>
      <c r="H37" s="48" t="n">
        <f aca="false">IFERROR(公演データ!$J$39,"")</f>
        <v>44</v>
      </c>
      <c r="I37" s="15" t="n">
        <f aca="false">IFERROR(H37/B37,"")</f>
        <v>0.0491071428571429</v>
      </c>
      <c r="J37" s="13" t="n">
        <f aca="false">IFERROR(ROUND($M$1*B37+$N$1,1),"")</f>
        <v>41.8</v>
      </c>
      <c r="K37" s="13" t="n">
        <f aca="false">IFERROR(H37-J37,"")</f>
        <v>2.2</v>
      </c>
      <c r="L37" s="21" t="n">
        <v>27</v>
      </c>
      <c r="M37" s="21" t="n">
        <v>115</v>
      </c>
    </row>
    <row r="39" customFormat="false" ht="15" hidden="false" customHeight="false" outlineLevel="0" collapsed="false">
      <c r="A39" s="2" t="s">
        <v>282</v>
      </c>
    </row>
    <row r="40" customFormat="false" ht="15" hidden="false" customHeight="false" outlineLevel="0" collapsed="false">
      <c r="A40" s="2" t="s">
        <v>283</v>
      </c>
    </row>
    <row r="41" customFormat="false" ht="15" hidden="false" customHeight="false" outlineLevel="0" collapsed="false">
      <c r="A41" s="2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2026-08-18T05:20:05Z</dcterms:created>
  <dc:creator>openpyxl</dc:creator>
  <dc:description/>
  <dc:language>en-US</dc:language>
  <cp:lastModifiedBy/>
  <dcterms:modified xsi:type="dcterms:W3CDTF">2026-08-18T05:20:09Z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